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2A" sheetId="1" r:id="rId4"/>
    <sheet state="visible" name="Task2B" sheetId="2" r:id="rId5"/>
    <sheet state="visible" name="Task3A" sheetId="3" r:id="rId6"/>
    <sheet state="visible" name="Task3B" sheetId="4" r:id="rId7"/>
    <sheet state="visible" name="Task3C" sheetId="5" r:id="rId8"/>
    <sheet state="visible" name="Task4A" sheetId="6" r:id="rId9"/>
    <sheet state="visible" name="Task4B" sheetId="7" r:id="rId10"/>
  </sheets>
  <definedNames/>
  <calcPr/>
  <extLst>
    <ext uri="GoogleSheetsCustomDataVersion2">
      <go:sheetsCustomData xmlns:go="http://customooxmlschemas.google.com/" r:id="rId11" roundtripDataChecksum="tOmXkQ751vWXguFYfjUHFvwEKeT+k0bffYM8epK0/nI="/>
    </ext>
  </extLst>
</workbook>
</file>

<file path=xl/sharedStrings.xml><?xml version="1.0" encoding="utf-8"?>
<sst xmlns="http://schemas.openxmlformats.org/spreadsheetml/2006/main" count="2119" uniqueCount="43">
  <si>
    <t>species</t>
  </si>
  <si>
    <t>island</t>
  </si>
  <si>
    <t>culmen_length_mm</t>
  </si>
  <si>
    <t>culmen_depth_mm</t>
  </si>
  <si>
    <t>flipper_length_mm</t>
  </si>
  <si>
    <t>body_mass_g</t>
  </si>
  <si>
    <t>sex</t>
  </si>
  <si>
    <t>Adelie</t>
  </si>
  <si>
    <t>Torgersen</t>
  </si>
  <si>
    <t>MALE</t>
  </si>
  <si>
    <t>FEMALE</t>
  </si>
  <si>
    <t>NA</t>
  </si>
  <si>
    <t>Biscoe</t>
  </si>
  <si>
    <t>Dream</t>
  </si>
  <si>
    <t>Chinstrap</t>
  </si>
  <si>
    <t>Gentoo</t>
  </si>
  <si>
    <t>.</t>
  </si>
  <si>
    <t>sex_code</t>
  </si>
  <si>
    <t>COUNT, cells with numbers</t>
  </si>
  <si>
    <t>COUNTA, cells not empty</t>
  </si>
  <si>
    <t>COUNTIF, cells with "NA"</t>
  </si>
  <si>
    <t>AVERAGE, ignores "NA"</t>
  </si>
  <si>
    <t>STDEV, ignores "NA"</t>
  </si>
  <si>
    <t>VAR</t>
  </si>
  <si>
    <t>MIN</t>
  </si>
  <si>
    <t>MAX</t>
  </si>
  <si>
    <t>Data type (Text, Integer or Decimal)</t>
  </si>
  <si>
    <t>Text</t>
  </si>
  <si>
    <t>Number</t>
  </si>
  <si>
    <t>Numerical or Categorical</t>
  </si>
  <si>
    <t>Categorical</t>
  </si>
  <si>
    <t>Numerical</t>
  </si>
  <si>
    <t>Continuous or Discrete</t>
  </si>
  <si>
    <t>Discrete</t>
  </si>
  <si>
    <t>Continuous</t>
  </si>
  <si>
    <t>MODE, numerical fields only</t>
  </si>
  <si>
    <t>N/A</t>
  </si>
  <si>
    <t>species_code</t>
  </si>
  <si>
    <t>island_code</t>
  </si>
  <si>
    <t>Predicted_body_mass_g</t>
  </si>
  <si>
    <t>Residual</t>
  </si>
  <si>
    <t>Residual Squared</t>
  </si>
  <si>
    <t>RMSE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</si>
</sst>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sz val="11.0"/>
      <color theme="1"/>
      <name val="Calibri"/>
    </font>
    <font>
      <b/>
      <color theme="1"/>
      <name val="Calibri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1" numFmtId="2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body_mass_g vs. flipper_length_mm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Task4A!$B$1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Task4A!$A$2:$A$989</c:f>
            </c:numRef>
          </c:xVal>
          <c:yVal>
            <c:numRef>
              <c:f>Task4A!$B$2:$B$989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19924"/>
        <c:axId val="453510600"/>
      </c:scatterChart>
      <c:valAx>
        <c:axId val="704199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flipper_length_mm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53510600"/>
      </c:valAx>
      <c:valAx>
        <c:axId val="453510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body_mass_g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041992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Task4A!$D$1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Task4A!$A$2:$A$1000</c:f>
            </c:numRef>
          </c:xVal>
          <c:yVal>
            <c:numRef>
              <c:f>Task4A!$D$2:$D$1000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030532"/>
        <c:axId val="266627883"/>
      </c:scatterChart>
      <c:valAx>
        <c:axId val="17960305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flipper Length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66627883"/>
      </c:valAx>
      <c:valAx>
        <c:axId val="266627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residual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9603053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390525</xdr:colOff>
      <xdr:row>2</xdr:row>
      <xdr:rowOff>28575</xdr:rowOff>
    </xdr:from>
    <xdr:ext cx="5248275" cy="3305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266700</xdr:colOff>
      <xdr:row>0</xdr:row>
      <xdr:rowOff>114300</xdr:rowOff>
    </xdr:from>
    <xdr:ext cx="5715000" cy="3533775"/>
    <xdr:graphicFrame>
      <xdr:nvGraphicFramePr>
        <xdr:cNvPr id="207766421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942975</xdr:colOff>
      <xdr:row>19</xdr:row>
      <xdr:rowOff>76200</xdr:rowOff>
    </xdr:from>
    <xdr:ext cx="5715000" cy="3533775"/>
    <xdr:graphicFrame>
      <xdr:nvGraphicFramePr>
        <xdr:cNvPr id="88750307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5" width="8.71"/>
    <col customWidth="1" min="6" max="6" width="10.57"/>
    <col customWidth="1" min="7" max="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2" t="s">
        <v>8</v>
      </c>
      <c r="C2" s="2">
        <v>39.1</v>
      </c>
      <c r="D2" s="2">
        <v>18.7</v>
      </c>
      <c r="E2" s="2">
        <v>181.0</v>
      </c>
      <c r="F2" s="2">
        <v>3750.0</v>
      </c>
      <c r="G2" s="2" t="s">
        <v>9</v>
      </c>
    </row>
    <row r="3">
      <c r="A3" s="1" t="s">
        <v>7</v>
      </c>
      <c r="B3" s="2" t="s">
        <v>8</v>
      </c>
      <c r="C3" s="2">
        <v>39.5</v>
      </c>
      <c r="D3" s="2">
        <v>17.4</v>
      </c>
      <c r="E3" s="2">
        <v>186.0</v>
      </c>
      <c r="F3" s="2">
        <v>3800.0</v>
      </c>
      <c r="G3" s="2" t="s">
        <v>10</v>
      </c>
    </row>
    <row r="4">
      <c r="A4" s="1" t="s">
        <v>7</v>
      </c>
      <c r="B4" s="2" t="s">
        <v>8</v>
      </c>
      <c r="C4" s="2">
        <v>40.3</v>
      </c>
      <c r="D4" s="2">
        <v>18.0</v>
      </c>
      <c r="E4" s="2">
        <v>195.0</v>
      </c>
      <c r="F4" s="2">
        <v>3250.0</v>
      </c>
      <c r="G4" s="2" t="s">
        <v>10</v>
      </c>
    </row>
    <row r="5">
      <c r="A5" s="1" t="s">
        <v>7</v>
      </c>
      <c r="B5" s="2" t="s">
        <v>8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</row>
    <row r="6">
      <c r="A6" s="1" t="s">
        <v>7</v>
      </c>
      <c r="B6" s="2" t="s">
        <v>8</v>
      </c>
      <c r="C6" s="2">
        <v>36.7</v>
      </c>
      <c r="D6" s="2">
        <v>19.3</v>
      </c>
      <c r="E6" s="2">
        <v>193.0</v>
      </c>
      <c r="F6" s="2">
        <v>3450.0</v>
      </c>
      <c r="G6" s="2" t="s">
        <v>10</v>
      </c>
    </row>
    <row r="7">
      <c r="A7" s="1" t="s">
        <v>7</v>
      </c>
      <c r="B7" s="2" t="s">
        <v>8</v>
      </c>
      <c r="C7" s="2">
        <v>39.3</v>
      </c>
      <c r="D7" s="2">
        <v>20.6</v>
      </c>
      <c r="E7" s="2">
        <v>190.0</v>
      </c>
      <c r="F7" s="2">
        <v>3650.0</v>
      </c>
      <c r="G7" s="2" t="s">
        <v>9</v>
      </c>
    </row>
    <row r="8">
      <c r="A8" s="1" t="s">
        <v>7</v>
      </c>
      <c r="B8" s="2" t="s">
        <v>8</v>
      </c>
      <c r="C8" s="2">
        <v>38.9</v>
      </c>
      <c r="D8" s="2">
        <v>17.8</v>
      </c>
      <c r="E8" s="2">
        <v>181.0</v>
      </c>
      <c r="F8" s="2">
        <v>3625.0</v>
      </c>
      <c r="G8" s="2" t="s">
        <v>10</v>
      </c>
    </row>
    <row r="9">
      <c r="A9" s="1" t="s">
        <v>7</v>
      </c>
      <c r="B9" s="2" t="s">
        <v>8</v>
      </c>
      <c r="C9" s="2">
        <v>39.2</v>
      </c>
      <c r="D9" s="2">
        <v>19.6</v>
      </c>
      <c r="E9" s="2">
        <v>195.0</v>
      </c>
      <c r="F9" s="2">
        <v>4675.0</v>
      </c>
      <c r="G9" s="2" t="s">
        <v>9</v>
      </c>
    </row>
    <row r="10">
      <c r="A10" s="1" t="s">
        <v>7</v>
      </c>
      <c r="B10" s="2" t="s">
        <v>8</v>
      </c>
      <c r="C10" s="2">
        <v>34.1</v>
      </c>
      <c r="D10" s="2">
        <v>18.1</v>
      </c>
      <c r="E10" s="2">
        <v>193.0</v>
      </c>
      <c r="F10" s="2">
        <v>3475.0</v>
      </c>
      <c r="G10" s="2" t="s">
        <v>11</v>
      </c>
    </row>
    <row r="11">
      <c r="A11" s="1" t="s">
        <v>7</v>
      </c>
      <c r="B11" s="2" t="s">
        <v>8</v>
      </c>
      <c r="C11" s="2">
        <v>42.0</v>
      </c>
      <c r="D11" s="2">
        <v>20.2</v>
      </c>
      <c r="E11" s="2">
        <v>190.0</v>
      </c>
      <c r="F11" s="2">
        <v>4250.0</v>
      </c>
      <c r="G11" s="2" t="s">
        <v>11</v>
      </c>
    </row>
    <row r="12">
      <c r="A12" s="1" t="s">
        <v>7</v>
      </c>
      <c r="B12" s="2" t="s">
        <v>8</v>
      </c>
      <c r="C12" s="2">
        <v>37.8</v>
      </c>
      <c r="D12" s="2">
        <v>17.1</v>
      </c>
      <c r="E12" s="2">
        <v>186.0</v>
      </c>
      <c r="F12" s="2">
        <v>3300.0</v>
      </c>
      <c r="G12" s="2" t="s">
        <v>11</v>
      </c>
    </row>
    <row r="13">
      <c r="A13" s="1" t="s">
        <v>7</v>
      </c>
      <c r="B13" s="2" t="s">
        <v>8</v>
      </c>
      <c r="C13" s="2">
        <v>37.8</v>
      </c>
      <c r="D13" s="2">
        <v>17.3</v>
      </c>
      <c r="E13" s="2">
        <v>180.0</v>
      </c>
      <c r="F13" s="2">
        <v>3700.0</v>
      </c>
      <c r="G13" s="2" t="s">
        <v>11</v>
      </c>
    </row>
    <row r="14">
      <c r="A14" s="1" t="s">
        <v>7</v>
      </c>
      <c r="B14" s="2" t="s">
        <v>8</v>
      </c>
      <c r="C14" s="2">
        <v>41.1</v>
      </c>
      <c r="D14" s="2">
        <v>17.6</v>
      </c>
      <c r="E14" s="2">
        <v>182.0</v>
      </c>
      <c r="F14" s="2">
        <v>3200.0</v>
      </c>
      <c r="G14" s="2" t="s">
        <v>10</v>
      </c>
    </row>
    <row r="15">
      <c r="A15" s="1" t="s">
        <v>7</v>
      </c>
      <c r="B15" s="2" t="s">
        <v>8</v>
      </c>
      <c r="C15" s="2">
        <v>38.6</v>
      </c>
      <c r="D15" s="2">
        <v>21.2</v>
      </c>
      <c r="E15" s="2">
        <v>191.0</v>
      </c>
      <c r="F15" s="2">
        <v>3800.0</v>
      </c>
      <c r="G15" s="2" t="s">
        <v>9</v>
      </c>
    </row>
    <row r="16">
      <c r="A16" s="1" t="s">
        <v>7</v>
      </c>
      <c r="B16" s="2" t="s">
        <v>8</v>
      </c>
      <c r="C16" s="2">
        <v>34.6</v>
      </c>
      <c r="D16" s="2">
        <v>21.1</v>
      </c>
      <c r="E16" s="2">
        <v>198.0</v>
      </c>
      <c r="F16" s="2">
        <v>4400.0</v>
      </c>
      <c r="G16" s="2" t="s">
        <v>9</v>
      </c>
    </row>
    <row r="17">
      <c r="A17" s="1" t="s">
        <v>7</v>
      </c>
      <c r="B17" s="2" t="s">
        <v>8</v>
      </c>
      <c r="C17" s="2">
        <v>36.6</v>
      </c>
      <c r="D17" s="2">
        <v>17.8</v>
      </c>
      <c r="E17" s="2">
        <v>185.0</v>
      </c>
      <c r="F17" s="2">
        <v>3700.0</v>
      </c>
      <c r="G17" s="2" t="s">
        <v>10</v>
      </c>
    </row>
    <row r="18">
      <c r="A18" s="1" t="s">
        <v>7</v>
      </c>
      <c r="B18" s="2" t="s">
        <v>8</v>
      </c>
      <c r="C18" s="2">
        <v>38.7</v>
      </c>
      <c r="D18" s="2">
        <v>19.0</v>
      </c>
      <c r="E18" s="2">
        <v>195.0</v>
      </c>
      <c r="F18" s="2">
        <v>3450.0</v>
      </c>
      <c r="G18" s="2" t="s">
        <v>10</v>
      </c>
    </row>
    <row r="19">
      <c r="A19" s="1" t="s">
        <v>7</v>
      </c>
      <c r="B19" s="2" t="s">
        <v>8</v>
      </c>
      <c r="C19" s="2">
        <v>42.5</v>
      </c>
      <c r="D19" s="2">
        <v>20.7</v>
      </c>
      <c r="E19" s="2">
        <v>197.0</v>
      </c>
      <c r="F19" s="2">
        <v>4500.0</v>
      </c>
      <c r="G19" s="2" t="s">
        <v>9</v>
      </c>
    </row>
    <row r="20">
      <c r="A20" s="1" t="s">
        <v>7</v>
      </c>
      <c r="B20" s="2" t="s">
        <v>8</v>
      </c>
      <c r="C20" s="2">
        <v>34.4</v>
      </c>
      <c r="D20" s="2">
        <v>18.4</v>
      </c>
      <c r="E20" s="2">
        <v>184.0</v>
      </c>
      <c r="F20" s="2">
        <v>3325.0</v>
      </c>
      <c r="G20" s="2" t="s">
        <v>10</v>
      </c>
    </row>
    <row r="21" ht="15.75" customHeight="1">
      <c r="A21" s="1" t="s">
        <v>7</v>
      </c>
      <c r="B21" s="2" t="s">
        <v>8</v>
      </c>
      <c r="C21" s="2">
        <v>46.0</v>
      </c>
      <c r="D21" s="2">
        <v>21.5</v>
      </c>
      <c r="E21" s="2">
        <v>194.0</v>
      </c>
      <c r="F21" s="2">
        <v>4200.0</v>
      </c>
      <c r="G21" s="2" t="s">
        <v>9</v>
      </c>
    </row>
    <row r="22" ht="15.75" customHeight="1">
      <c r="A22" s="1" t="s">
        <v>7</v>
      </c>
      <c r="B22" s="2" t="s">
        <v>12</v>
      </c>
      <c r="C22" s="2">
        <v>37.8</v>
      </c>
      <c r="D22" s="2">
        <v>18.3</v>
      </c>
      <c r="E22" s="2">
        <v>174.0</v>
      </c>
      <c r="F22" s="2">
        <v>3400.0</v>
      </c>
      <c r="G22" s="2" t="s">
        <v>10</v>
      </c>
    </row>
    <row r="23" ht="15.75" customHeight="1">
      <c r="A23" s="1" t="s">
        <v>7</v>
      </c>
      <c r="B23" s="2" t="s">
        <v>12</v>
      </c>
      <c r="C23" s="2">
        <v>37.7</v>
      </c>
      <c r="D23" s="2">
        <v>18.7</v>
      </c>
      <c r="E23" s="2">
        <v>180.0</v>
      </c>
      <c r="F23" s="2">
        <v>3600.0</v>
      </c>
      <c r="G23" s="2" t="s">
        <v>9</v>
      </c>
    </row>
    <row r="24" ht="15.75" customHeight="1">
      <c r="A24" s="1" t="s">
        <v>7</v>
      </c>
      <c r="B24" s="2" t="s">
        <v>12</v>
      </c>
      <c r="C24" s="2">
        <v>35.9</v>
      </c>
      <c r="D24" s="2">
        <v>19.2</v>
      </c>
      <c r="E24" s="2">
        <v>189.0</v>
      </c>
      <c r="F24" s="2">
        <v>3800.0</v>
      </c>
      <c r="G24" s="2" t="s">
        <v>10</v>
      </c>
    </row>
    <row r="25" ht="15.75" customHeight="1">
      <c r="A25" s="1" t="s">
        <v>7</v>
      </c>
      <c r="B25" s="2" t="s">
        <v>12</v>
      </c>
      <c r="C25" s="2">
        <v>38.2</v>
      </c>
      <c r="D25" s="2">
        <v>18.1</v>
      </c>
      <c r="E25" s="2">
        <v>185.0</v>
      </c>
      <c r="F25" s="2">
        <v>3950.0</v>
      </c>
      <c r="G25" s="2" t="s">
        <v>9</v>
      </c>
    </row>
    <row r="26" ht="15.75" customHeight="1">
      <c r="A26" s="1" t="s">
        <v>7</v>
      </c>
      <c r="B26" s="2" t="s">
        <v>12</v>
      </c>
      <c r="C26" s="2">
        <v>38.8</v>
      </c>
      <c r="D26" s="2">
        <v>17.2</v>
      </c>
      <c r="E26" s="2">
        <v>180.0</v>
      </c>
      <c r="F26" s="2">
        <v>3800.0</v>
      </c>
      <c r="G26" s="2" t="s">
        <v>9</v>
      </c>
    </row>
    <row r="27" ht="15.75" customHeight="1">
      <c r="A27" s="1" t="s">
        <v>7</v>
      </c>
      <c r="B27" s="2" t="s">
        <v>12</v>
      </c>
      <c r="C27" s="2">
        <v>35.3</v>
      </c>
      <c r="D27" s="2">
        <v>18.9</v>
      </c>
      <c r="E27" s="2">
        <v>187.0</v>
      </c>
      <c r="F27" s="2">
        <v>3800.0</v>
      </c>
      <c r="G27" s="2" t="s">
        <v>10</v>
      </c>
    </row>
    <row r="28" ht="15.75" customHeight="1">
      <c r="A28" s="1" t="s">
        <v>7</v>
      </c>
      <c r="B28" s="2" t="s">
        <v>12</v>
      </c>
      <c r="C28" s="2">
        <v>40.6</v>
      </c>
      <c r="D28" s="2">
        <v>18.6</v>
      </c>
      <c r="E28" s="2">
        <v>183.0</v>
      </c>
      <c r="F28" s="2">
        <v>3550.0</v>
      </c>
      <c r="G28" s="2" t="s">
        <v>9</v>
      </c>
    </row>
    <row r="29" ht="15.75" customHeight="1">
      <c r="A29" s="1" t="s">
        <v>7</v>
      </c>
      <c r="B29" s="2" t="s">
        <v>12</v>
      </c>
      <c r="C29" s="2">
        <v>40.5</v>
      </c>
      <c r="D29" s="2">
        <v>17.9</v>
      </c>
      <c r="E29" s="2">
        <v>187.0</v>
      </c>
      <c r="F29" s="2">
        <v>3200.0</v>
      </c>
      <c r="G29" s="2" t="s">
        <v>10</v>
      </c>
    </row>
    <row r="30" ht="15.75" customHeight="1">
      <c r="A30" s="1" t="s">
        <v>7</v>
      </c>
      <c r="B30" s="2" t="s">
        <v>12</v>
      </c>
      <c r="C30" s="2">
        <v>37.9</v>
      </c>
      <c r="D30" s="2">
        <v>18.6</v>
      </c>
      <c r="E30" s="2">
        <v>172.0</v>
      </c>
      <c r="F30" s="2">
        <v>3150.0</v>
      </c>
      <c r="G30" s="2" t="s">
        <v>10</v>
      </c>
    </row>
    <row r="31" ht="15.75" customHeight="1">
      <c r="A31" s="1" t="s">
        <v>7</v>
      </c>
      <c r="B31" s="2" t="s">
        <v>12</v>
      </c>
      <c r="C31" s="2">
        <v>40.5</v>
      </c>
      <c r="D31" s="2">
        <v>18.9</v>
      </c>
      <c r="E31" s="2">
        <v>180.0</v>
      </c>
      <c r="F31" s="2">
        <v>3950.0</v>
      </c>
      <c r="G31" s="2" t="s">
        <v>9</v>
      </c>
    </row>
    <row r="32" ht="15.75" customHeight="1">
      <c r="A32" s="1" t="s">
        <v>7</v>
      </c>
      <c r="B32" s="2" t="s">
        <v>13</v>
      </c>
      <c r="C32" s="2">
        <v>39.5</v>
      </c>
      <c r="D32" s="2">
        <v>16.7</v>
      </c>
      <c r="E32" s="2">
        <v>178.0</v>
      </c>
      <c r="F32" s="2">
        <v>3250.0</v>
      </c>
      <c r="G32" s="2" t="s">
        <v>10</v>
      </c>
    </row>
    <row r="33" ht="15.75" customHeight="1">
      <c r="A33" s="1" t="s">
        <v>7</v>
      </c>
      <c r="B33" s="2" t="s">
        <v>13</v>
      </c>
      <c r="C33" s="2">
        <v>37.2</v>
      </c>
      <c r="D33" s="2">
        <v>18.1</v>
      </c>
      <c r="E33" s="2">
        <v>178.0</v>
      </c>
      <c r="F33" s="2">
        <v>3900.0</v>
      </c>
      <c r="G33" s="2" t="s">
        <v>9</v>
      </c>
    </row>
    <row r="34" ht="15.75" customHeight="1">
      <c r="A34" s="1" t="s">
        <v>7</v>
      </c>
      <c r="B34" s="2" t="s">
        <v>13</v>
      </c>
      <c r="C34" s="2">
        <v>39.5</v>
      </c>
      <c r="D34" s="2">
        <v>17.8</v>
      </c>
      <c r="E34" s="2">
        <v>188.0</v>
      </c>
      <c r="F34" s="2">
        <v>3300.0</v>
      </c>
      <c r="G34" s="2" t="s">
        <v>10</v>
      </c>
    </row>
    <row r="35" ht="15.75" customHeight="1">
      <c r="A35" s="1" t="s">
        <v>7</v>
      </c>
      <c r="B35" s="2" t="s">
        <v>13</v>
      </c>
      <c r="C35" s="2">
        <v>40.9</v>
      </c>
      <c r="D35" s="2">
        <v>18.9</v>
      </c>
      <c r="E35" s="2">
        <v>184.0</v>
      </c>
      <c r="F35" s="2">
        <v>3900.0</v>
      </c>
      <c r="G35" s="2" t="s">
        <v>9</v>
      </c>
    </row>
    <row r="36" ht="15.75" customHeight="1">
      <c r="A36" s="1" t="s">
        <v>7</v>
      </c>
      <c r="B36" s="2" t="s">
        <v>13</v>
      </c>
      <c r="C36" s="2">
        <v>36.4</v>
      </c>
      <c r="D36" s="2">
        <v>17.0</v>
      </c>
      <c r="E36" s="2">
        <v>195.0</v>
      </c>
      <c r="F36" s="2">
        <v>3325.0</v>
      </c>
      <c r="G36" s="2" t="s">
        <v>10</v>
      </c>
    </row>
    <row r="37" ht="15.75" customHeight="1">
      <c r="A37" s="1" t="s">
        <v>7</v>
      </c>
      <c r="B37" s="2" t="s">
        <v>13</v>
      </c>
      <c r="C37" s="2">
        <v>39.2</v>
      </c>
      <c r="D37" s="2">
        <v>21.1</v>
      </c>
      <c r="E37" s="2">
        <v>196.0</v>
      </c>
      <c r="F37" s="2">
        <v>4150.0</v>
      </c>
      <c r="G37" s="2" t="s">
        <v>9</v>
      </c>
    </row>
    <row r="38" ht="15.75" customHeight="1">
      <c r="A38" s="1" t="s">
        <v>7</v>
      </c>
      <c r="B38" s="2" t="s">
        <v>13</v>
      </c>
      <c r="C38" s="2">
        <v>38.8</v>
      </c>
      <c r="D38" s="2">
        <v>20.0</v>
      </c>
      <c r="E38" s="2">
        <v>190.0</v>
      </c>
      <c r="F38" s="2">
        <v>3950.0</v>
      </c>
      <c r="G38" s="2" t="s">
        <v>9</v>
      </c>
    </row>
    <row r="39" ht="15.75" customHeight="1">
      <c r="A39" s="1" t="s">
        <v>7</v>
      </c>
      <c r="B39" s="2" t="s">
        <v>13</v>
      </c>
      <c r="C39" s="2">
        <v>42.2</v>
      </c>
      <c r="D39" s="2">
        <v>18.5</v>
      </c>
      <c r="E39" s="2">
        <v>180.0</v>
      </c>
      <c r="F39" s="2">
        <v>3550.0</v>
      </c>
      <c r="G39" s="2" t="s">
        <v>10</v>
      </c>
    </row>
    <row r="40" ht="15.75" customHeight="1">
      <c r="A40" s="1" t="s">
        <v>7</v>
      </c>
      <c r="B40" s="2" t="s">
        <v>13</v>
      </c>
      <c r="C40" s="2">
        <v>37.6</v>
      </c>
      <c r="D40" s="2">
        <v>19.3</v>
      </c>
      <c r="E40" s="2">
        <v>181.0</v>
      </c>
      <c r="F40" s="2">
        <v>3300.0</v>
      </c>
      <c r="G40" s="2" t="s">
        <v>10</v>
      </c>
    </row>
    <row r="41" ht="15.75" customHeight="1">
      <c r="A41" s="1" t="s">
        <v>7</v>
      </c>
      <c r="B41" s="2" t="s">
        <v>13</v>
      </c>
      <c r="C41" s="2">
        <v>39.8</v>
      </c>
      <c r="D41" s="2">
        <v>19.1</v>
      </c>
      <c r="E41" s="2">
        <v>184.0</v>
      </c>
      <c r="F41" s="2">
        <v>4650.0</v>
      </c>
      <c r="G41" s="2" t="s">
        <v>9</v>
      </c>
    </row>
    <row r="42" ht="15.75" customHeight="1">
      <c r="A42" s="1" t="s">
        <v>7</v>
      </c>
      <c r="B42" s="2" t="s">
        <v>13</v>
      </c>
      <c r="C42" s="2">
        <v>36.5</v>
      </c>
      <c r="D42" s="2">
        <v>18.0</v>
      </c>
      <c r="E42" s="2">
        <v>182.0</v>
      </c>
      <c r="F42" s="2">
        <v>3150.0</v>
      </c>
      <c r="G42" s="2" t="s">
        <v>10</v>
      </c>
    </row>
    <row r="43" ht="15.75" customHeight="1">
      <c r="A43" s="1" t="s">
        <v>7</v>
      </c>
      <c r="B43" s="2" t="s">
        <v>13</v>
      </c>
      <c r="C43" s="2">
        <v>40.8</v>
      </c>
      <c r="D43" s="2">
        <v>18.4</v>
      </c>
      <c r="E43" s="2">
        <v>195.0</v>
      </c>
      <c r="F43" s="2">
        <v>3900.0</v>
      </c>
      <c r="G43" s="2" t="s">
        <v>9</v>
      </c>
    </row>
    <row r="44" ht="15.75" customHeight="1">
      <c r="A44" s="1" t="s">
        <v>7</v>
      </c>
      <c r="B44" s="2" t="s">
        <v>13</v>
      </c>
      <c r="C44" s="2">
        <v>36.0</v>
      </c>
      <c r="D44" s="2">
        <v>18.5</v>
      </c>
      <c r="E44" s="2">
        <v>186.0</v>
      </c>
      <c r="F44" s="2">
        <v>3100.0</v>
      </c>
      <c r="G44" s="2" t="s">
        <v>10</v>
      </c>
    </row>
    <row r="45" ht="15.75" customHeight="1">
      <c r="A45" s="1" t="s">
        <v>7</v>
      </c>
      <c r="B45" s="2" t="s">
        <v>13</v>
      </c>
      <c r="C45" s="2">
        <v>44.1</v>
      </c>
      <c r="D45" s="2">
        <v>19.7</v>
      </c>
      <c r="E45" s="2">
        <v>196.0</v>
      </c>
      <c r="F45" s="2">
        <v>4400.0</v>
      </c>
      <c r="G45" s="2" t="s">
        <v>9</v>
      </c>
    </row>
    <row r="46" ht="15.75" customHeight="1">
      <c r="A46" s="1" t="s">
        <v>7</v>
      </c>
      <c r="B46" s="2" t="s">
        <v>13</v>
      </c>
      <c r="C46" s="2">
        <v>37.0</v>
      </c>
      <c r="D46" s="2">
        <v>16.9</v>
      </c>
      <c r="E46" s="2">
        <v>185.0</v>
      </c>
      <c r="F46" s="2">
        <v>3000.0</v>
      </c>
      <c r="G46" s="2" t="s">
        <v>10</v>
      </c>
    </row>
    <row r="47" ht="15.75" customHeight="1">
      <c r="A47" s="1" t="s">
        <v>7</v>
      </c>
      <c r="B47" s="2" t="s">
        <v>13</v>
      </c>
      <c r="C47" s="2">
        <v>39.6</v>
      </c>
      <c r="D47" s="2">
        <v>18.8</v>
      </c>
      <c r="E47" s="2">
        <v>190.0</v>
      </c>
      <c r="F47" s="2">
        <v>4600.0</v>
      </c>
      <c r="G47" s="2" t="s">
        <v>9</v>
      </c>
    </row>
    <row r="48" ht="15.75" customHeight="1">
      <c r="A48" s="1" t="s">
        <v>7</v>
      </c>
      <c r="B48" s="2" t="s">
        <v>13</v>
      </c>
      <c r="C48" s="2">
        <v>41.1</v>
      </c>
      <c r="D48" s="2">
        <v>19.0</v>
      </c>
      <c r="E48" s="2">
        <v>182.0</v>
      </c>
      <c r="F48" s="2">
        <v>3425.0</v>
      </c>
      <c r="G48" s="2" t="s">
        <v>9</v>
      </c>
    </row>
    <row r="49" ht="15.75" customHeight="1">
      <c r="A49" s="1" t="s">
        <v>7</v>
      </c>
      <c r="B49" s="2" t="s">
        <v>13</v>
      </c>
      <c r="C49" s="2">
        <v>37.5</v>
      </c>
      <c r="D49" s="2">
        <v>18.9</v>
      </c>
      <c r="E49" s="2">
        <v>179.0</v>
      </c>
      <c r="F49" s="2">
        <v>2975.0</v>
      </c>
      <c r="G49" s="2" t="s">
        <v>11</v>
      </c>
    </row>
    <row r="50" ht="15.75" customHeight="1">
      <c r="A50" s="1" t="s">
        <v>7</v>
      </c>
      <c r="B50" s="2" t="s">
        <v>13</v>
      </c>
      <c r="C50" s="2">
        <v>36.0</v>
      </c>
      <c r="D50" s="2">
        <v>17.9</v>
      </c>
      <c r="E50" s="2">
        <v>190.0</v>
      </c>
      <c r="F50" s="2">
        <v>3450.0</v>
      </c>
      <c r="G50" s="2" t="s">
        <v>10</v>
      </c>
    </row>
    <row r="51" ht="15.75" customHeight="1">
      <c r="A51" s="1" t="s">
        <v>7</v>
      </c>
      <c r="B51" s="2" t="s">
        <v>13</v>
      </c>
      <c r="C51" s="2">
        <v>42.3</v>
      </c>
      <c r="D51" s="2">
        <v>21.2</v>
      </c>
      <c r="E51" s="2">
        <v>191.0</v>
      </c>
      <c r="F51" s="2">
        <v>4150.0</v>
      </c>
      <c r="G51" s="2" t="s">
        <v>9</v>
      </c>
    </row>
    <row r="52" ht="15.75" customHeight="1">
      <c r="A52" s="1" t="s">
        <v>7</v>
      </c>
      <c r="B52" s="2" t="s">
        <v>12</v>
      </c>
      <c r="C52" s="2">
        <v>39.6</v>
      </c>
      <c r="D52" s="2">
        <v>17.7</v>
      </c>
      <c r="E52" s="2">
        <v>186.0</v>
      </c>
      <c r="F52" s="2">
        <v>3500.0</v>
      </c>
      <c r="G52" s="2" t="s">
        <v>10</v>
      </c>
    </row>
    <row r="53" ht="15.75" customHeight="1">
      <c r="A53" s="1" t="s">
        <v>7</v>
      </c>
      <c r="B53" s="2" t="s">
        <v>12</v>
      </c>
      <c r="C53" s="2">
        <v>40.1</v>
      </c>
      <c r="D53" s="2">
        <v>18.9</v>
      </c>
      <c r="E53" s="2">
        <v>188.0</v>
      </c>
      <c r="F53" s="2">
        <v>4300.0</v>
      </c>
      <c r="G53" s="2" t="s">
        <v>9</v>
      </c>
    </row>
    <row r="54" ht="15.75" customHeight="1">
      <c r="A54" s="1" t="s">
        <v>7</v>
      </c>
      <c r="B54" s="2" t="s">
        <v>12</v>
      </c>
      <c r="C54" s="2">
        <v>35.0</v>
      </c>
      <c r="D54" s="2">
        <v>17.9</v>
      </c>
      <c r="E54" s="2">
        <v>190.0</v>
      </c>
      <c r="F54" s="2">
        <v>3450.0</v>
      </c>
      <c r="G54" s="2" t="s">
        <v>10</v>
      </c>
    </row>
    <row r="55" ht="15.75" customHeight="1">
      <c r="A55" s="1" t="s">
        <v>7</v>
      </c>
      <c r="B55" s="2" t="s">
        <v>12</v>
      </c>
      <c r="C55" s="2">
        <v>42.0</v>
      </c>
      <c r="D55" s="2">
        <v>19.5</v>
      </c>
      <c r="E55" s="2">
        <v>200.0</v>
      </c>
      <c r="F55" s="2">
        <v>4050.0</v>
      </c>
      <c r="G55" s="2" t="s">
        <v>9</v>
      </c>
    </row>
    <row r="56" ht="15.75" customHeight="1">
      <c r="A56" s="1" t="s">
        <v>7</v>
      </c>
      <c r="B56" s="2" t="s">
        <v>12</v>
      </c>
      <c r="C56" s="2">
        <v>34.5</v>
      </c>
      <c r="D56" s="2">
        <v>18.1</v>
      </c>
      <c r="E56" s="2">
        <v>187.0</v>
      </c>
      <c r="F56" s="2">
        <v>2900.0</v>
      </c>
      <c r="G56" s="2" t="s">
        <v>10</v>
      </c>
    </row>
    <row r="57" ht="15.75" customHeight="1">
      <c r="A57" s="1" t="s">
        <v>7</v>
      </c>
      <c r="B57" s="2" t="s">
        <v>12</v>
      </c>
      <c r="C57" s="2">
        <v>41.4</v>
      </c>
      <c r="D57" s="2">
        <v>18.6</v>
      </c>
      <c r="E57" s="2">
        <v>191.0</v>
      </c>
      <c r="F57" s="2">
        <v>3700.0</v>
      </c>
      <c r="G57" s="2" t="s">
        <v>9</v>
      </c>
    </row>
    <row r="58" ht="15.75" customHeight="1">
      <c r="A58" s="1" t="s">
        <v>7</v>
      </c>
      <c r="B58" s="2" t="s">
        <v>12</v>
      </c>
      <c r="C58" s="2">
        <v>39.0</v>
      </c>
      <c r="D58" s="2">
        <v>17.5</v>
      </c>
      <c r="E58" s="2">
        <v>186.0</v>
      </c>
      <c r="F58" s="2">
        <v>3550.0</v>
      </c>
      <c r="G58" s="2" t="s">
        <v>10</v>
      </c>
    </row>
    <row r="59" ht="15.75" customHeight="1">
      <c r="A59" s="1" t="s">
        <v>7</v>
      </c>
      <c r="B59" s="2" t="s">
        <v>12</v>
      </c>
      <c r="C59" s="2">
        <v>40.6</v>
      </c>
      <c r="D59" s="2">
        <v>18.8</v>
      </c>
      <c r="E59" s="2">
        <v>193.0</v>
      </c>
      <c r="F59" s="2">
        <v>3800.0</v>
      </c>
      <c r="G59" s="2" t="s">
        <v>9</v>
      </c>
    </row>
    <row r="60" ht="15.75" customHeight="1">
      <c r="A60" s="1" t="s">
        <v>7</v>
      </c>
      <c r="B60" s="2" t="s">
        <v>12</v>
      </c>
      <c r="C60" s="2">
        <v>36.5</v>
      </c>
      <c r="D60" s="2">
        <v>16.6</v>
      </c>
      <c r="E60" s="2">
        <v>181.0</v>
      </c>
      <c r="F60" s="2">
        <v>2850.0</v>
      </c>
      <c r="G60" s="2" t="s">
        <v>10</v>
      </c>
    </row>
    <row r="61" ht="15.75" customHeight="1">
      <c r="A61" s="1" t="s">
        <v>7</v>
      </c>
      <c r="B61" s="2" t="s">
        <v>12</v>
      </c>
      <c r="C61" s="2">
        <v>37.6</v>
      </c>
      <c r="D61" s="2">
        <v>19.1</v>
      </c>
      <c r="E61" s="2">
        <v>194.0</v>
      </c>
      <c r="F61" s="2">
        <v>3750.0</v>
      </c>
      <c r="G61" s="2" t="s">
        <v>9</v>
      </c>
    </row>
    <row r="62" ht="15.75" customHeight="1">
      <c r="A62" s="1" t="s">
        <v>7</v>
      </c>
      <c r="B62" s="2" t="s">
        <v>12</v>
      </c>
      <c r="C62" s="2">
        <v>35.7</v>
      </c>
      <c r="D62" s="2">
        <v>16.9</v>
      </c>
      <c r="E62" s="2">
        <v>185.0</v>
      </c>
      <c r="F62" s="2">
        <v>3150.0</v>
      </c>
      <c r="G62" s="2" t="s">
        <v>10</v>
      </c>
    </row>
    <row r="63" ht="15.75" customHeight="1">
      <c r="A63" s="1" t="s">
        <v>7</v>
      </c>
      <c r="B63" s="2" t="s">
        <v>12</v>
      </c>
      <c r="C63" s="2">
        <v>41.3</v>
      </c>
      <c r="D63" s="2">
        <v>21.1</v>
      </c>
      <c r="E63" s="2">
        <v>195.0</v>
      </c>
      <c r="F63" s="2">
        <v>4400.0</v>
      </c>
      <c r="G63" s="2" t="s">
        <v>9</v>
      </c>
    </row>
    <row r="64" ht="15.75" customHeight="1">
      <c r="A64" s="1" t="s">
        <v>7</v>
      </c>
      <c r="B64" s="2" t="s">
        <v>12</v>
      </c>
      <c r="C64" s="2">
        <v>37.6</v>
      </c>
      <c r="D64" s="2">
        <v>17.0</v>
      </c>
      <c r="E64" s="2">
        <v>185.0</v>
      </c>
      <c r="F64" s="2">
        <v>3600.0</v>
      </c>
      <c r="G64" s="2" t="s">
        <v>10</v>
      </c>
    </row>
    <row r="65" ht="15.75" customHeight="1">
      <c r="A65" s="1" t="s">
        <v>7</v>
      </c>
      <c r="B65" s="2" t="s">
        <v>12</v>
      </c>
      <c r="C65" s="2">
        <v>41.1</v>
      </c>
      <c r="D65" s="2">
        <v>18.2</v>
      </c>
      <c r="E65" s="2">
        <v>192.0</v>
      </c>
      <c r="F65" s="2">
        <v>4050.0</v>
      </c>
      <c r="G65" s="2" t="s">
        <v>9</v>
      </c>
    </row>
    <row r="66" ht="15.75" customHeight="1">
      <c r="A66" s="1" t="s">
        <v>7</v>
      </c>
      <c r="B66" s="2" t="s">
        <v>12</v>
      </c>
      <c r="C66" s="2">
        <v>36.4</v>
      </c>
      <c r="D66" s="2">
        <v>17.1</v>
      </c>
      <c r="E66" s="2">
        <v>184.0</v>
      </c>
      <c r="F66" s="2">
        <v>2850.0</v>
      </c>
      <c r="G66" s="2" t="s">
        <v>10</v>
      </c>
    </row>
    <row r="67" ht="15.75" customHeight="1">
      <c r="A67" s="1" t="s">
        <v>7</v>
      </c>
      <c r="B67" s="2" t="s">
        <v>12</v>
      </c>
      <c r="C67" s="2">
        <v>41.6</v>
      </c>
      <c r="D67" s="2">
        <v>18.0</v>
      </c>
      <c r="E67" s="2">
        <v>192.0</v>
      </c>
      <c r="F67" s="2">
        <v>3950.0</v>
      </c>
      <c r="G67" s="2" t="s">
        <v>9</v>
      </c>
    </row>
    <row r="68" ht="15.75" customHeight="1">
      <c r="A68" s="1" t="s">
        <v>7</v>
      </c>
      <c r="B68" s="2" t="s">
        <v>12</v>
      </c>
      <c r="C68" s="2">
        <v>35.5</v>
      </c>
      <c r="D68" s="2">
        <v>16.2</v>
      </c>
      <c r="E68" s="2">
        <v>195.0</v>
      </c>
      <c r="F68" s="2">
        <v>3350.0</v>
      </c>
      <c r="G68" s="2" t="s">
        <v>10</v>
      </c>
    </row>
    <row r="69" ht="15.75" customHeight="1">
      <c r="A69" s="1" t="s">
        <v>7</v>
      </c>
      <c r="B69" s="2" t="s">
        <v>12</v>
      </c>
      <c r="C69" s="2">
        <v>41.1</v>
      </c>
      <c r="D69" s="2">
        <v>19.1</v>
      </c>
      <c r="E69" s="2">
        <v>188.0</v>
      </c>
      <c r="F69" s="2">
        <v>4100.0</v>
      </c>
      <c r="G69" s="2" t="s">
        <v>9</v>
      </c>
    </row>
    <row r="70" ht="15.75" customHeight="1">
      <c r="A70" s="1" t="s">
        <v>7</v>
      </c>
      <c r="B70" s="2" t="s">
        <v>8</v>
      </c>
      <c r="C70" s="2">
        <v>35.9</v>
      </c>
      <c r="D70" s="2">
        <v>16.6</v>
      </c>
      <c r="E70" s="2">
        <v>190.0</v>
      </c>
      <c r="F70" s="2">
        <v>3050.0</v>
      </c>
      <c r="G70" s="2" t="s">
        <v>10</v>
      </c>
    </row>
    <row r="71" ht="15.75" customHeight="1">
      <c r="A71" s="1" t="s">
        <v>7</v>
      </c>
      <c r="B71" s="2" t="s">
        <v>8</v>
      </c>
      <c r="C71" s="2">
        <v>41.8</v>
      </c>
      <c r="D71" s="2">
        <v>19.4</v>
      </c>
      <c r="E71" s="2">
        <v>198.0</v>
      </c>
      <c r="F71" s="2">
        <v>4450.0</v>
      </c>
      <c r="G71" s="2" t="s">
        <v>9</v>
      </c>
    </row>
    <row r="72" ht="15.75" customHeight="1">
      <c r="A72" s="1" t="s">
        <v>7</v>
      </c>
      <c r="B72" s="2" t="s">
        <v>8</v>
      </c>
      <c r="C72" s="2">
        <v>33.5</v>
      </c>
      <c r="D72" s="2">
        <v>19.0</v>
      </c>
      <c r="E72" s="2">
        <v>190.0</v>
      </c>
      <c r="F72" s="2">
        <v>3600.0</v>
      </c>
      <c r="G72" s="2" t="s">
        <v>10</v>
      </c>
    </row>
    <row r="73" ht="15.75" customHeight="1">
      <c r="A73" s="1" t="s">
        <v>7</v>
      </c>
      <c r="B73" s="2" t="s">
        <v>8</v>
      </c>
      <c r="C73" s="2">
        <v>39.7</v>
      </c>
      <c r="D73" s="2">
        <v>18.4</v>
      </c>
      <c r="E73" s="2">
        <v>190.0</v>
      </c>
      <c r="F73" s="2">
        <v>3900.0</v>
      </c>
      <c r="G73" s="2" t="s">
        <v>9</v>
      </c>
    </row>
    <row r="74" ht="15.75" customHeight="1">
      <c r="A74" s="1" t="s">
        <v>7</v>
      </c>
      <c r="B74" s="2" t="s">
        <v>8</v>
      </c>
      <c r="C74" s="2">
        <v>39.6</v>
      </c>
      <c r="D74" s="2">
        <v>17.2</v>
      </c>
      <c r="E74" s="2">
        <v>196.0</v>
      </c>
      <c r="F74" s="2">
        <v>3550.0</v>
      </c>
      <c r="G74" s="2" t="s">
        <v>10</v>
      </c>
    </row>
    <row r="75" ht="15.75" customHeight="1">
      <c r="A75" s="1" t="s">
        <v>7</v>
      </c>
      <c r="B75" s="2" t="s">
        <v>8</v>
      </c>
      <c r="C75" s="2">
        <v>45.8</v>
      </c>
      <c r="D75" s="2">
        <v>18.9</v>
      </c>
      <c r="E75" s="2">
        <v>197.0</v>
      </c>
      <c r="F75" s="2">
        <v>4150.0</v>
      </c>
      <c r="G75" s="2" t="s">
        <v>9</v>
      </c>
    </row>
    <row r="76" ht="15.75" customHeight="1">
      <c r="A76" s="1" t="s">
        <v>7</v>
      </c>
      <c r="B76" s="2" t="s">
        <v>8</v>
      </c>
      <c r="C76" s="2">
        <v>35.5</v>
      </c>
      <c r="D76" s="2">
        <v>17.5</v>
      </c>
      <c r="E76" s="2">
        <v>190.0</v>
      </c>
      <c r="F76" s="2">
        <v>3700.0</v>
      </c>
      <c r="G76" s="2" t="s">
        <v>10</v>
      </c>
    </row>
    <row r="77" ht="15.75" customHeight="1">
      <c r="A77" s="1" t="s">
        <v>7</v>
      </c>
      <c r="B77" s="2" t="s">
        <v>8</v>
      </c>
      <c r="C77" s="2">
        <v>42.8</v>
      </c>
      <c r="D77" s="2">
        <v>18.5</v>
      </c>
      <c r="E77" s="2">
        <v>195.0</v>
      </c>
      <c r="F77" s="2">
        <v>4250.0</v>
      </c>
      <c r="G77" s="2" t="s">
        <v>9</v>
      </c>
    </row>
    <row r="78" ht="15.75" customHeight="1">
      <c r="A78" s="1" t="s">
        <v>7</v>
      </c>
      <c r="B78" s="2" t="s">
        <v>8</v>
      </c>
      <c r="C78" s="2">
        <v>40.9</v>
      </c>
      <c r="D78" s="2">
        <v>16.8</v>
      </c>
      <c r="E78" s="2">
        <v>191.0</v>
      </c>
      <c r="F78" s="2">
        <v>3700.0</v>
      </c>
      <c r="G78" s="2" t="s">
        <v>10</v>
      </c>
    </row>
    <row r="79" ht="15.75" customHeight="1">
      <c r="A79" s="1" t="s">
        <v>7</v>
      </c>
      <c r="B79" s="2" t="s">
        <v>8</v>
      </c>
      <c r="C79" s="2">
        <v>37.2</v>
      </c>
      <c r="D79" s="2">
        <v>19.4</v>
      </c>
      <c r="E79" s="2">
        <v>184.0</v>
      </c>
      <c r="F79" s="2">
        <v>3900.0</v>
      </c>
      <c r="G79" s="2" t="s">
        <v>9</v>
      </c>
    </row>
    <row r="80" ht="15.75" customHeight="1">
      <c r="A80" s="1" t="s">
        <v>7</v>
      </c>
      <c r="B80" s="2" t="s">
        <v>8</v>
      </c>
      <c r="C80" s="2">
        <v>36.2</v>
      </c>
      <c r="D80" s="2">
        <v>16.1</v>
      </c>
      <c r="E80" s="2">
        <v>187.0</v>
      </c>
      <c r="F80" s="2">
        <v>3550.0</v>
      </c>
      <c r="G80" s="2" t="s">
        <v>10</v>
      </c>
    </row>
    <row r="81" ht="15.75" customHeight="1">
      <c r="A81" s="1" t="s">
        <v>7</v>
      </c>
      <c r="B81" s="2" t="s">
        <v>8</v>
      </c>
      <c r="C81" s="2">
        <v>42.1</v>
      </c>
      <c r="D81" s="2">
        <v>19.1</v>
      </c>
      <c r="E81" s="2">
        <v>195.0</v>
      </c>
      <c r="F81" s="2">
        <v>4000.0</v>
      </c>
      <c r="G81" s="2" t="s">
        <v>9</v>
      </c>
    </row>
    <row r="82" ht="15.75" customHeight="1">
      <c r="A82" s="1" t="s">
        <v>7</v>
      </c>
      <c r="B82" s="2" t="s">
        <v>8</v>
      </c>
      <c r="C82" s="2">
        <v>34.6</v>
      </c>
      <c r="D82" s="2">
        <v>17.2</v>
      </c>
      <c r="E82" s="2">
        <v>189.0</v>
      </c>
      <c r="F82" s="2">
        <v>3200.0</v>
      </c>
      <c r="G82" s="2" t="s">
        <v>10</v>
      </c>
    </row>
    <row r="83" ht="15.75" customHeight="1">
      <c r="A83" s="1" t="s">
        <v>7</v>
      </c>
      <c r="B83" s="2" t="s">
        <v>8</v>
      </c>
      <c r="C83" s="2">
        <v>42.9</v>
      </c>
      <c r="D83" s="2">
        <v>17.6</v>
      </c>
      <c r="E83" s="2">
        <v>196.0</v>
      </c>
      <c r="F83" s="2">
        <v>4700.0</v>
      </c>
      <c r="G83" s="2" t="s">
        <v>9</v>
      </c>
    </row>
    <row r="84" ht="15.75" customHeight="1">
      <c r="A84" s="1" t="s">
        <v>7</v>
      </c>
      <c r="B84" s="2" t="s">
        <v>8</v>
      </c>
      <c r="C84" s="2">
        <v>36.7</v>
      </c>
      <c r="D84" s="2">
        <v>18.8</v>
      </c>
      <c r="E84" s="2">
        <v>187.0</v>
      </c>
      <c r="F84" s="2">
        <v>3800.0</v>
      </c>
      <c r="G84" s="2" t="s">
        <v>10</v>
      </c>
    </row>
    <row r="85" ht="15.75" customHeight="1">
      <c r="A85" s="1" t="s">
        <v>7</v>
      </c>
      <c r="B85" s="2" t="s">
        <v>8</v>
      </c>
      <c r="C85" s="2">
        <v>35.1</v>
      </c>
      <c r="D85" s="2">
        <v>19.4</v>
      </c>
      <c r="E85" s="2">
        <v>193.0</v>
      </c>
      <c r="F85" s="2">
        <v>4200.0</v>
      </c>
      <c r="G85" s="2" t="s">
        <v>9</v>
      </c>
    </row>
    <row r="86" ht="15.75" customHeight="1">
      <c r="A86" s="1" t="s">
        <v>7</v>
      </c>
      <c r="B86" s="2" t="s">
        <v>13</v>
      </c>
      <c r="C86" s="2">
        <v>37.3</v>
      </c>
      <c r="D86" s="2">
        <v>17.8</v>
      </c>
      <c r="E86" s="2">
        <v>191.0</v>
      </c>
      <c r="F86" s="2">
        <v>3350.0</v>
      </c>
      <c r="G86" s="2" t="s">
        <v>10</v>
      </c>
    </row>
    <row r="87" ht="15.75" customHeight="1">
      <c r="A87" s="1" t="s">
        <v>7</v>
      </c>
      <c r="B87" s="2" t="s">
        <v>13</v>
      </c>
      <c r="C87" s="2">
        <v>41.3</v>
      </c>
      <c r="D87" s="2">
        <v>20.3</v>
      </c>
      <c r="E87" s="2">
        <v>194.0</v>
      </c>
      <c r="F87" s="2">
        <v>3550.0</v>
      </c>
      <c r="G87" s="2" t="s">
        <v>9</v>
      </c>
    </row>
    <row r="88" ht="15.75" customHeight="1">
      <c r="A88" s="1" t="s">
        <v>7</v>
      </c>
      <c r="B88" s="2" t="s">
        <v>13</v>
      </c>
      <c r="C88" s="2">
        <v>36.3</v>
      </c>
      <c r="D88" s="2">
        <v>19.5</v>
      </c>
      <c r="E88" s="2">
        <v>190.0</v>
      </c>
      <c r="F88" s="2">
        <v>3800.0</v>
      </c>
      <c r="G88" s="2" t="s">
        <v>9</v>
      </c>
    </row>
    <row r="89" ht="15.75" customHeight="1">
      <c r="A89" s="1" t="s">
        <v>7</v>
      </c>
      <c r="B89" s="2" t="s">
        <v>13</v>
      </c>
      <c r="C89" s="2">
        <v>36.9</v>
      </c>
      <c r="D89" s="2">
        <v>18.6</v>
      </c>
      <c r="E89" s="2">
        <v>189.0</v>
      </c>
      <c r="F89" s="2">
        <v>3500.0</v>
      </c>
      <c r="G89" s="2" t="s">
        <v>10</v>
      </c>
    </row>
    <row r="90" ht="15.75" customHeight="1">
      <c r="A90" s="1" t="s">
        <v>7</v>
      </c>
      <c r="B90" s="2" t="s">
        <v>13</v>
      </c>
      <c r="C90" s="2">
        <v>38.3</v>
      </c>
      <c r="D90" s="2">
        <v>19.2</v>
      </c>
      <c r="E90" s="2">
        <v>189.0</v>
      </c>
      <c r="F90" s="2">
        <v>3950.0</v>
      </c>
      <c r="G90" s="2" t="s">
        <v>9</v>
      </c>
    </row>
    <row r="91" ht="15.75" customHeight="1">
      <c r="A91" s="1" t="s">
        <v>7</v>
      </c>
      <c r="B91" s="2" t="s">
        <v>13</v>
      </c>
      <c r="C91" s="2">
        <v>38.9</v>
      </c>
      <c r="D91" s="2">
        <v>18.8</v>
      </c>
      <c r="E91" s="2">
        <v>190.0</v>
      </c>
      <c r="F91" s="2">
        <v>3600.0</v>
      </c>
      <c r="G91" s="2" t="s">
        <v>10</v>
      </c>
    </row>
    <row r="92" ht="15.75" customHeight="1">
      <c r="A92" s="1" t="s">
        <v>7</v>
      </c>
      <c r="B92" s="2" t="s">
        <v>13</v>
      </c>
      <c r="C92" s="2">
        <v>35.7</v>
      </c>
      <c r="D92" s="2">
        <v>18.0</v>
      </c>
      <c r="E92" s="2">
        <v>202.0</v>
      </c>
      <c r="F92" s="2">
        <v>3550.0</v>
      </c>
      <c r="G92" s="2" t="s">
        <v>10</v>
      </c>
    </row>
    <row r="93" ht="15.75" customHeight="1">
      <c r="A93" s="1" t="s">
        <v>7</v>
      </c>
      <c r="B93" s="2" t="s">
        <v>13</v>
      </c>
      <c r="C93" s="2">
        <v>41.1</v>
      </c>
      <c r="D93" s="2">
        <v>18.1</v>
      </c>
      <c r="E93" s="2">
        <v>205.0</v>
      </c>
      <c r="F93" s="2">
        <v>4300.0</v>
      </c>
      <c r="G93" s="2" t="s">
        <v>9</v>
      </c>
    </row>
    <row r="94" ht="15.75" customHeight="1">
      <c r="A94" s="1" t="s">
        <v>7</v>
      </c>
      <c r="B94" s="2" t="s">
        <v>13</v>
      </c>
      <c r="C94" s="2">
        <v>34.0</v>
      </c>
      <c r="D94" s="2">
        <v>17.1</v>
      </c>
      <c r="E94" s="2">
        <v>185.0</v>
      </c>
      <c r="F94" s="2">
        <v>3400.0</v>
      </c>
      <c r="G94" s="2" t="s">
        <v>10</v>
      </c>
    </row>
    <row r="95" ht="15.75" customHeight="1">
      <c r="A95" s="1" t="s">
        <v>7</v>
      </c>
      <c r="B95" s="2" t="s">
        <v>13</v>
      </c>
      <c r="C95" s="2">
        <v>39.6</v>
      </c>
      <c r="D95" s="2">
        <v>18.1</v>
      </c>
      <c r="E95" s="2">
        <v>186.0</v>
      </c>
      <c r="F95" s="2">
        <v>4450.0</v>
      </c>
      <c r="G95" s="2" t="s">
        <v>9</v>
      </c>
    </row>
    <row r="96" ht="15.75" customHeight="1">
      <c r="A96" s="1" t="s">
        <v>7</v>
      </c>
      <c r="B96" s="2" t="s">
        <v>13</v>
      </c>
      <c r="C96" s="2">
        <v>36.2</v>
      </c>
      <c r="D96" s="2">
        <v>17.3</v>
      </c>
      <c r="E96" s="2">
        <v>187.0</v>
      </c>
      <c r="F96" s="2">
        <v>3300.0</v>
      </c>
      <c r="G96" s="2" t="s">
        <v>10</v>
      </c>
    </row>
    <row r="97" ht="15.75" customHeight="1">
      <c r="A97" s="1" t="s">
        <v>7</v>
      </c>
      <c r="B97" s="2" t="s">
        <v>13</v>
      </c>
      <c r="C97" s="2">
        <v>40.8</v>
      </c>
      <c r="D97" s="2">
        <v>18.9</v>
      </c>
      <c r="E97" s="2">
        <v>208.0</v>
      </c>
      <c r="F97" s="2">
        <v>4300.0</v>
      </c>
      <c r="G97" s="2" t="s">
        <v>9</v>
      </c>
    </row>
    <row r="98" ht="15.75" customHeight="1">
      <c r="A98" s="1" t="s">
        <v>7</v>
      </c>
      <c r="B98" s="2" t="s">
        <v>13</v>
      </c>
      <c r="C98" s="2">
        <v>38.1</v>
      </c>
      <c r="D98" s="2">
        <v>18.6</v>
      </c>
      <c r="E98" s="2">
        <v>190.0</v>
      </c>
      <c r="F98" s="2">
        <v>3700.0</v>
      </c>
      <c r="G98" s="2" t="s">
        <v>10</v>
      </c>
    </row>
    <row r="99" ht="15.75" customHeight="1">
      <c r="A99" s="1" t="s">
        <v>7</v>
      </c>
      <c r="B99" s="2" t="s">
        <v>13</v>
      </c>
      <c r="C99" s="2">
        <v>40.3</v>
      </c>
      <c r="D99" s="2">
        <v>18.5</v>
      </c>
      <c r="E99" s="2">
        <v>196.0</v>
      </c>
      <c r="F99" s="2">
        <v>4350.0</v>
      </c>
      <c r="G99" s="2" t="s">
        <v>9</v>
      </c>
    </row>
    <row r="100" ht="15.75" customHeight="1">
      <c r="A100" s="1" t="s">
        <v>7</v>
      </c>
      <c r="B100" s="2" t="s">
        <v>13</v>
      </c>
      <c r="C100" s="2">
        <v>33.1</v>
      </c>
      <c r="D100" s="2">
        <v>16.1</v>
      </c>
      <c r="E100" s="2">
        <v>178.0</v>
      </c>
      <c r="F100" s="2">
        <v>2900.0</v>
      </c>
      <c r="G100" s="2" t="s">
        <v>10</v>
      </c>
    </row>
    <row r="101" ht="15.75" customHeight="1">
      <c r="A101" s="1" t="s">
        <v>7</v>
      </c>
      <c r="B101" s="2" t="s">
        <v>13</v>
      </c>
      <c r="C101" s="2">
        <v>43.2</v>
      </c>
      <c r="D101" s="2">
        <v>18.5</v>
      </c>
      <c r="E101" s="2">
        <v>192.0</v>
      </c>
      <c r="F101" s="2">
        <v>4100.0</v>
      </c>
      <c r="G101" s="2" t="s">
        <v>9</v>
      </c>
    </row>
    <row r="102" ht="15.75" customHeight="1">
      <c r="A102" s="1" t="s">
        <v>7</v>
      </c>
      <c r="B102" s="2" t="s">
        <v>12</v>
      </c>
      <c r="C102" s="2">
        <v>35.0</v>
      </c>
      <c r="D102" s="2">
        <v>17.9</v>
      </c>
      <c r="E102" s="2">
        <v>192.0</v>
      </c>
      <c r="F102" s="2">
        <v>3725.0</v>
      </c>
      <c r="G102" s="2" t="s">
        <v>10</v>
      </c>
    </row>
    <row r="103" ht="15.75" customHeight="1">
      <c r="A103" s="1" t="s">
        <v>7</v>
      </c>
      <c r="B103" s="2" t="s">
        <v>12</v>
      </c>
      <c r="C103" s="2">
        <v>41.0</v>
      </c>
      <c r="D103" s="2">
        <v>20.0</v>
      </c>
      <c r="E103" s="2">
        <v>203.0</v>
      </c>
      <c r="F103" s="2">
        <v>4725.0</v>
      </c>
      <c r="G103" s="2" t="s">
        <v>9</v>
      </c>
    </row>
    <row r="104" ht="15.75" customHeight="1">
      <c r="A104" s="1" t="s">
        <v>7</v>
      </c>
      <c r="B104" s="2" t="s">
        <v>12</v>
      </c>
      <c r="C104" s="2">
        <v>37.7</v>
      </c>
      <c r="D104" s="2">
        <v>16.0</v>
      </c>
      <c r="E104" s="2">
        <v>183.0</v>
      </c>
      <c r="F104" s="2">
        <v>3075.0</v>
      </c>
      <c r="G104" s="2" t="s">
        <v>10</v>
      </c>
    </row>
    <row r="105" ht="15.75" customHeight="1">
      <c r="A105" s="1" t="s">
        <v>7</v>
      </c>
      <c r="B105" s="2" t="s">
        <v>12</v>
      </c>
      <c r="C105" s="2">
        <v>37.8</v>
      </c>
      <c r="D105" s="2">
        <v>20.0</v>
      </c>
      <c r="E105" s="2">
        <v>190.0</v>
      </c>
      <c r="F105" s="2">
        <v>4250.0</v>
      </c>
      <c r="G105" s="2" t="s">
        <v>9</v>
      </c>
    </row>
    <row r="106" ht="15.75" customHeight="1">
      <c r="A106" s="1" t="s">
        <v>7</v>
      </c>
      <c r="B106" s="2" t="s">
        <v>12</v>
      </c>
      <c r="C106" s="2">
        <v>37.9</v>
      </c>
      <c r="D106" s="2">
        <v>18.6</v>
      </c>
      <c r="E106" s="2">
        <v>193.0</v>
      </c>
      <c r="F106" s="2">
        <v>2925.0</v>
      </c>
      <c r="G106" s="2" t="s">
        <v>10</v>
      </c>
    </row>
    <row r="107" ht="15.75" customHeight="1">
      <c r="A107" s="1" t="s">
        <v>7</v>
      </c>
      <c r="B107" s="2" t="s">
        <v>12</v>
      </c>
      <c r="C107" s="2">
        <v>39.7</v>
      </c>
      <c r="D107" s="2">
        <v>18.9</v>
      </c>
      <c r="E107" s="2">
        <v>184.0</v>
      </c>
      <c r="F107" s="2">
        <v>3550.0</v>
      </c>
      <c r="G107" s="2" t="s">
        <v>9</v>
      </c>
    </row>
    <row r="108" ht="15.75" customHeight="1">
      <c r="A108" s="1" t="s">
        <v>7</v>
      </c>
      <c r="B108" s="2" t="s">
        <v>12</v>
      </c>
      <c r="C108" s="2">
        <v>38.6</v>
      </c>
      <c r="D108" s="2">
        <v>17.2</v>
      </c>
      <c r="E108" s="2">
        <v>199.0</v>
      </c>
      <c r="F108" s="2">
        <v>3750.0</v>
      </c>
      <c r="G108" s="2" t="s">
        <v>10</v>
      </c>
    </row>
    <row r="109" ht="15.75" customHeight="1">
      <c r="A109" s="1" t="s">
        <v>7</v>
      </c>
      <c r="B109" s="2" t="s">
        <v>12</v>
      </c>
      <c r="C109" s="2">
        <v>38.2</v>
      </c>
      <c r="D109" s="2">
        <v>20.0</v>
      </c>
      <c r="E109" s="2">
        <v>190.0</v>
      </c>
      <c r="F109" s="2">
        <v>3900.0</v>
      </c>
      <c r="G109" s="2" t="s">
        <v>9</v>
      </c>
    </row>
    <row r="110" ht="15.75" customHeight="1">
      <c r="A110" s="1" t="s">
        <v>7</v>
      </c>
      <c r="B110" s="2" t="s">
        <v>12</v>
      </c>
      <c r="C110" s="2">
        <v>38.1</v>
      </c>
      <c r="D110" s="2">
        <v>17.0</v>
      </c>
      <c r="E110" s="2">
        <v>181.0</v>
      </c>
      <c r="F110" s="2">
        <v>3175.0</v>
      </c>
      <c r="G110" s="2" t="s">
        <v>10</v>
      </c>
    </row>
    <row r="111" ht="15.75" customHeight="1">
      <c r="A111" s="1" t="s">
        <v>7</v>
      </c>
      <c r="B111" s="2" t="s">
        <v>12</v>
      </c>
      <c r="C111" s="2">
        <v>43.2</v>
      </c>
      <c r="D111" s="2">
        <v>19.0</v>
      </c>
      <c r="E111" s="2">
        <v>197.0</v>
      </c>
      <c r="F111" s="2">
        <v>4775.0</v>
      </c>
      <c r="G111" s="2" t="s">
        <v>9</v>
      </c>
    </row>
    <row r="112" ht="15.75" customHeight="1">
      <c r="A112" s="1" t="s">
        <v>7</v>
      </c>
      <c r="B112" s="2" t="s">
        <v>12</v>
      </c>
      <c r="C112" s="2">
        <v>38.1</v>
      </c>
      <c r="D112" s="2">
        <v>16.5</v>
      </c>
      <c r="E112" s="2">
        <v>198.0</v>
      </c>
      <c r="F112" s="2">
        <v>3825.0</v>
      </c>
      <c r="G112" s="2" t="s">
        <v>10</v>
      </c>
    </row>
    <row r="113" ht="15.75" customHeight="1">
      <c r="A113" s="1" t="s">
        <v>7</v>
      </c>
      <c r="B113" s="2" t="s">
        <v>12</v>
      </c>
      <c r="C113" s="2">
        <v>45.6</v>
      </c>
      <c r="D113" s="2">
        <v>20.3</v>
      </c>
      <c r="E113" s="2">
        <v>191.0</v>
      </c>
      <c r="F113" s="2">
        <v>4600.0</v>
      </c>
      <c r="G113" s="2" t="s">
        <v>9</v>
      </c>
    </row>
    <row r="114" ht="15.75" customHeight="1">
      <c r="A114" s="1" t="s">
        <v>7</v>
      </c>
      <c r="B114" s="2" t="s">
        <v>12</v>
      </c>
      <c r="C114" s="2">
        <v>39.7</v>
      </c>
      <c r="D114" s="2">
        <v>17.7</v>
      </c>
      <c r="E114" s="2">
        <v>193.0</v>
      </c>
      <c r="F114" s="2">
        <v>3200.0</v>
      </c>
      <c r="G114" s="2" t="s">
        <v>10</v>
      </c>
    </row>
    <row r="115" ht="15.75" customHeight="1">
      <c r="A115" s="1" t="s">
        <v>7</v>
      </c>
      <c r="B115" s="2" t="s">
        <v>12</v>
      </c>
      <c r="C115" s="2">
        <v>42.2</v>
      </c>
      <c r="D115" s="2">
        <v>19.5</v>
      </c>
      <c r="E115" s="2">
        <v>197.0</v>
      </c>
      <c r="F115" s="2">
        <v>4275.0</v>
      </c>
      <c r="G115" s="2" t="s">
        <v>9</v>
      </c>
    </row>
    <row r="116" ht="15.75" customHeight="1">
      <c r="A116" s="1" t="s">
        <v>7</v>
      </c>
      <c r="B116" s="2" t="s">
        <v>12</v>
      </c>
      <c r="C116" s="2">
        <v>39.6</v>
      </c>
      <c r="D116" s="2">
        <v>20.7</v>
      </c>
      <c r="E116" s="2">
        <v>191.0</v>
      </c>
      <c r="F116" s="2">
        <v>3900.0</v>
      </c>
      <c r="G116" s="2" t="s">
        <v>10</v>
      </c>
    </row>
    <row r="117" ht="15.75" customHeight="1">
      <c r="A117" s="1" t="s">
        <v>7</v>
      </c>
      <c r="B117" s="2" t="s">
        <v>12</v>
      </c>
      <c r="C117" s="2">
        <v>42.7</v>
      </c>
      <c r="D117" s="2">
        <v>18.3</v>
      </c>
      <c r="E117" s="2">
        <v>196.0</v>
      </c>
      <c r="F117" s="2">
        <v>4075.0</v>
      </c>
      <c r="G117" s="2" t="s">
        <v>9</v>
      </c>
    </row>
    <row r="118" ht="15.75" customHeight="1">
      <c r="A118" s="1" t="s">
        <v>7</v>
      </c>
      <c r="B118" s="2" t="s">
        <v>8</v>
      </c>
      <c r="C118" s="2">
        <v>38.6</v>
      </c>
      <c r="D118" s="2">
        <v>17.0</v>
      </c>
      <c r="E118" s="2">
        <v>188.0</v>
      </c>
      <c r="F118" s="2">
        <v>2900.0</v>
      </c>
      <c r="G118" s="2" t="s">
        <v>10</v>
      </c>
    </row>
    <row r="119" ht="15.75" customHeight="1">
      <c r="A119" s="1" t="s">
        <v>7</v>
      </c>
      <c r="B119" s="2" t="s">
        <v>8</v>
      </c>
      <c r="C119" s="2">
        <v>37.3</v>
      </c>
      <c r="D119" s="2">
        <v>20.5</v>
      </c>
      <c r="E119" s="2">
        <v>199.0</v>
      </c>
      <c r="F119" s="2">
        <v>3775.0</v>
      </c>
      <c r="G119" s="2" t="s">
        <v>9</v>
      </c>
    </row>
    <row r="120" ht="15.75" customHeight="1">
      <c r="A120" s="1" t="s">
        <v>7</v>
      </c>
      <c r="B120" s="2" t="s">
        <v>8</v>
      </c>
      <c r="C120" s="2">
        <v>35.7</v>
      </c>
      <c r="D120" s="2">
        <v>17.0</v>
      </c>
      <c r="E120" s="2">
        <v>189.0</v>
      </c>
      <c r="F120" s="2">
        <v>3350.0</v>
      </c>
      <c r="G120" s="2" t="s">
        <v>10</v>
      </c>
    </row>
    <row r="121" ht="15.75" customHeight="1">
      <c r="A121" s="1" t="s">
        <v>7</v>
      </c>
      <c r="B121" s="2" t="s">
        <v>8</v>
      </c>
      <c r="C121" s="2">
        <v>41.1</v>
      </c>
      <c r="D121" s="2">
        <v>18.6</v>
      </c>
      <c r="E121" s="2">
        <v>189.0</v>
      </c>
      <c r="F121" s="2">
        <v>3325.0</v>
      </c>
      <c r="G121" s="2" t="s">
        <v>9</v>
      </c>
    </row>
    <row r="122" ht="15.75" customHeight="1">
      <c r="A122" s="1" t="s">
        <v>7</v>
      </c>
      <c r="B122" s="2" t="s">
        <v>8</v>
      </c>
      <c r="C122" s="2">
        <v>36.2</v>
      </c>
      <c r="D122" s="2">
        <v>17.2</v>
      </c>
      <c r="E122" s="2">
        <v>187.0</v>
      </c>
      <c r="F122" s="2">
        <v>3150.0</v>
      </c>
      <c r="G122" s="2" t="s">
        <v>10</v>
      </c>
    </row>
    <row r="123" ht="15.75" customHeight="1">
      <c r="A123" s="1" t="s">
        <v>7</v>
      </c>
      <c r="B123" s="2" t="s">
        <v>8</v>
      </c>
      <c r="C123" s="2">
        <v>37.7</v>
      </c>
      <c r="D123" s="2">
        <v>19.8</v>
      </c>
      <c r="E123" s="2">
        <v>198.0</v>
      </c>
      <c r="F123" s="2">
        <v>3500.0</v>
      </c>
      <c r="G123" s="2" t="s">
        <v>9</v>
      </c>
    </row>
    <row r="124" ht="15.75" customHeight="1">
      <c r="A124" s="1" t="s">
        <v>7</v>
      </c>
      <c r="B124" s="2" t="s">
        <v>8</v>
      </c>
      <c r="C124" s="2">
        <v>40.2</v>
      </c>
      <c r="D124" s="2">
        <v>17.0</v>
      </c>
      <c r="E124" s="2">
        <v>176.0</v>
      </c>
      <c r="F124" s="2">
        <v>3450.0</v>
      </c>
      <c r="G124" s="2" t="s">
        <v>10</v>
      </c>
    </row>
    <row r="125" ht="15.75" customHeight="1">
      <c r="A125" s="1" t="s">
        <v>7</v>
      </c>
      <c r="B125" s="2" t="s">
        <v>8</v>
      </c>
      <c r="C125" s="2">
        <v>41.4</v>
      </c>
      <c r="D125" s="2">
        <v>18.5</v>
      </c>
      <c r="E125" s="2">
        <v>202.0</v>
      </c>
      <c r="F125" s="2">
        <v>3875.0</v>
      </c>
      <c r="G125" s="2" t="s">
        <v>9</v>
      </c>
    </row>
    <row r="126" ht="15.75" customHeight="1">
      <c r="A126" s="1" t="s">
        <v>7</v>
      </c>
      <c r="B126" s="2" t="s">
        <v>8</v>
      </c>
      <c r="C126" s="2">
        <v>35.2</v>
      </c>
      <c r="D126" s="2">
        <v>15.9</v>
      </c>
      <c r="E126" s="2">
        <v>186.0</v>
      </c>
      <c r="F126" s="2">
        <v>3050.0</v>
      </c>
      <c r="G126" s="2" t="s">
        <v>10</v>
      </c>
    </row>
    <row r="127" ht="15.75" customHeight="1">
      <c r="A127" s="1" t="s">
        <v>7</v>
      </c>
      <c r="B127" s="2" t="s">
        <v>8</v>
      </c>
      <c r="C127" s="2">
        <v>40.6</v>
      </c>
      <c r="D127" s="2">
        <v>19.0</v>
      </c>
      <c r="E127" s="2">
        <v>199.0</v>
      </c>
      <c r="F127" s="2">
        <v>4000.0</v>
      </c>
      <c r="G127" s="2" t="s">
        <v>9</v>
      </c>
    </row>
    <row r="128" ht="15.75" customHeight="1">
      <c r="A128" s="1" t="s">
        <v>7</v>
      </c>
      <c r="B128" s="2" t="s">
        <v>8</v>
      </c>
      <c r="C128" s="2">
        <v>38.8</v>
      </c>
      <c r="D128" s="2">
        <v>17.6</v>
      </c>
      <c r="E128" s="2">
        <v>191.0</v>
      </c>
      <c r="F128" s="2">
        <v>3275.0</v>
      </c>
      <c r="G128" s="2" t="s">
        <v>10</v>
      </c>
    </row>
    <row r="129" ht="15.75" customHeight="1">
      <c r="A129" s="1" t="s">
        <v>7</v>
      </c>
      <c r="B129" s="2" t="s">
        <v>8</v>
      </c>
      <c r="C129" s="2">
        <v>41.5</v>
      </c>
      <c r="D129" s="2">
        <v>18.3</v>
      </c>
      <c r="E129" s="2">
        <v>195.0</v>
      </c>
      <c r="F129" s="2">
        <v>4300.0</v>
      </c>
      <c r="G129" s="2" t="s">
        <v>9</v>
      </c>
    </row>
    <row r="130" ht="15.75" customHeight="1">
      <c r="A130" s="1" t="s">
        <v>7</v>
      </c>
      <c r="B130" s="2" t="s">
        <v>8</v>
      </c>
      <c r="C130" s="2">
        <v>39.0</v>
      </c>
      <c r="D130" s="2">
        <v>17.1</v>
      </c>
      <c r="E130" s="2">
        <v>191.0</v>
      </c>
      <c r="F130" s="2">
        <v>3050.0</v>
      </c>
      <c r="G130" s="2" t="s">
        <v>10</v>
      </c>
    </row>
    <row r="131" ht="15.75" customHeight="1">
      <c r="A131" s="1" t="s">
        <v>7</v>
      </c>
      <c r="B131" s="2" t="s">
        <v>8</v>
      </c>
      <c r="C131" s="2">
        <v>44.1</v>
      </c>
      <c r="D131" s="2">
        <v>18.0</v>
      </c>
      <c r="E131" s="2">
        <v>210.0</v>
      </c>
      <c r="F131" s="2">
        <v>4000.0</v>
      </c>
      <c r="G131" s="2" t="s">
        <v>9</v>
      </c>
    </row>
    <row r="132" ht="15.75" customHeight="1">
      <c r="A132" s="1" t="s">
        <v>7</v>
      </c>
      <c r="B132" s="2" t="s">
        <v>8</v>
      </c>
      <c r="C132" s="2">
        <v>38.5</v>
      </c>
      <c r="D132" s="2">
        <v>17.9</v>
      </c>
      <c r="E132" s="2">
        <v>190.0</v>
      </c>
      <c r="F132" s="2">
        <v>3325.0</v>
      </c>
      <c r="G132" s="2" t="s">
        <v>10</v>
      </c>
    </row>
    <row r="133" ht="15.75" customHeight="1">
      <c r="A133" s="1" t="s">
        <v>7</v>
      </c>
      <c r="B133" s="2" t="s">
        <v>8</v>
      </c>
      <c r="C133" s="2">
        <v>43.1</v>
      </c>
      <c r="D133" s="2">
        <v>19.2</v>
      </c>
      <c r="E133" s="2">
        <v>197.0</v>
      </c>
      <c r="F133" s="2">
        <v>3500.0</v>
      </c>
      <c r="G133" s="2" t="s">
        <v>9</v>
      </c>
    </row>
    <row r="134" ht="15.75" customHeight="1">
      <c r="A134" s="1" t="s">
        <v>7</v>
      </c>
      <c r="B134" s="2" t="s">
        <v>13</v>
      </c>
      <c r="C134" s="2">
        <v>36.8</v>
      </c>
      <c r="D134" s="2">
        <v>18.5</v>
      </c>
      <c r="E134" s="2">
        <v>193.0</v>
      </c>
      <c r="F134" s="2">
        <v>3500.0</v>
      </c>
      <c r="G134" s="2" t="s">
        <v>10</v>
      </c>
    </row>
    <row r="135" ht="15.75" customHeight="1">
      <c r="A135" s="1" t="s">
        <v>7</v>
      </c>
      <c r="B135" s="2" t="s">
        <v>13</v>
      </c>
      <c r="C135" s="2">
        <v>37.5</v>
      </c>
      <c r="D135" s="2">
        <v>18.5</v>
      </c>
      <c r="E135" s="2">
        <v>199.0</v>
      </c>
      <c r="F135" s="2">
        <v>4475.0</v>
      </c>
      <c r="G135" s="2" t="s">
        <v>9</v>
      </c>
    </row>
    <row r="136" ht="15.75" customHeight="1">
      <c r="A136" s="1" t="s">
        <v>7</v>
      </c>
      <c r="B136" s="2" t="s">
        <v>13</v>
      </c>
      <c r="C136" s="2">
        <v>38.1</v>
      </c>
      <c r="D136" s="2">
        <v>17.6</v>
      </c>
      <c r="E136" s="2">
        <v>187.0</v>
      </c>
      <c r="F136" s="2">
        <v>3425.0</v>
      </c>
      <c r="G136" s="2" t="s">
        <v>10</v>
      </c>
    </row>
    <row r="137" ht="15.75" customHeight="1">
      <c r="A137" s="1" t="s">
        <v>7</v>
      </c>
      <c r="B137" s="2" t="s">
        <v>13</v>
      </c>
      <c r="C137" s="2">
        <v>41.1</v>
      </c>
      <c r="D137" s="2">
        <v>17.5</v>
      </c>
      <c r="E137" s="2">
        <v>190.0</v>
      </c>
      <c r="F137" s="2">
        <v>3900.0</v>
      </c>
      <c r="G137" s="2" t="s">
        <v>9</v>
      </c>
    </row>
    <row r="138" ht="15.75" customHeight="1">
      <c r="A138" s="1" t="s">
        <v>7</v>
      </c>
      <c r="B138" s="2" t="s">
        <v>13</v>
      </c>
      <c r="C138" s="2">
        <v>35.6</v>
      </c>
      <c r="D138" s="2">
        <v>17.5</v>
      </c>
      <c r="E138" s="2">
        <v>191.0</v>
      </c>
      <c r="F138" s="2">
        <v>3175.0</v>
      </c>
      <c r="G138" s="2" t="s">
        <v>10</v>
      </c>
    </row>
    <row r="139" ht="15.75" customHeight="1">
      <c r="A139" s="1" t="s">
        <v>7</v>
      </c>
      <c r="B139" s="2" t="s">
        <v>13</v>
      </c>
      <c r="C139" s="2">
        <v>40.2</v>
      </c>
      <c r="D139" s="2">
        <v>20.1</v>
      </c>
      <c r="E139" s="2">
        <v>200.0</v>
      </c>
      <c r="F139" s="2">
        <v>3975.0</v>
      </c>
      <c r="G139" s="2" t="s">
        <v>9</v>
      </c>
    </row>
    <row r="140" ht="15.75" customHeight="1">
      <c r="A140" s="1" t="s">
        <v>7</v>
      </c>
      <c r="B140" s="2" t="s">
        <v>13</v>
      </c>
      <c r="C140" s="2">
        <v>37.0</v>
      </c>
      <c r="D140" s="2">
        <v>16.5</v>
      </c>
      <c r="E140" s="2">
        <v>185.0</v>
      </c>
      <c r="F140" s="2">
        <v>3400.0</v>
      </c>
      <c r="G140" s="2" t="s">
        <v>10</v>
      </c>
    </row>
    <row r="141" ht="15.75" customHeight="1">
      <c r="A141" s="1" t="s">
        <v>7</v>
      </c>
      <c r="B141" s="2" t="s">
        <v>13</v>
      </c>
      <c r="C141" s="2">
        <v>39.7</v>
      </c>
      <c r="D141" s="2">
        <v>17.9</v>
      </c>
      <c r="E141" s="2">
        <v>193.0</v>
      </c>
      <c r="F141" s="2">
        <v>4250.0</v>
      </c>
      <c r="G141" s="2" t="s">
        <v>9</v>
      </c>
    </row>
    <row r="142" ht="15.75" customHeight="1">
      <c r="A142" s="1" t="s">
        <v>7</v>
      </c>
      <c r="B142" s="2" t="s">
        <v>13</v>
      </c>
      <c r="C142" s="2">
        <v>40.2</v>
      </c>
      <c r="D142" s="2">
        <v>17.1</v>
      </c>
      <c r="E142" s="2">
        <v>193.0</v>
      </c>
      <c r="F142" s="2">
        <v>3400.0</v>
      </c>
      <c r="G142" s="2" t="s">
        <v>10</v>
      </c>
    </row>
    <row r="143" ht="15.75" customHeight="1">
      <c r="A143" s="1" t="s">
        <v>7</v>
      </c>
      <c r="B143" s="2" t="s">
        <v>13</v>
      </c>
      <c r="C143" s="2">
        <v>40.6</v>
      </c>
      <c r="D143" s="2">
        <v>17.2</v>
      </c>
      <c r="E143" s="2">
        <v>187.0</v>
      </c>
      <c r="F143" s="2">
        <v>3475.0</v>
      </c>
      <c r="G143" s="2" t="s">
        <v>9</v>
      </c>
    </row>
    <row r="144" ht="15.75" customHeight="1">
      <c r="A144" s="1" t="s">
        <v>7</v>
      </c>
      <c r="B144" s="2" t="s">
        <v>13</v>
      </c>
      <c r="C144" s="2">
        <v>32.1</v>
      </c>
      <c r="D144" s="2">
        <v>15.5</v>
      </c>
      <c r="E144" s="2">
        <v>188.0</v>
      </c>
      <c r="F144" s="2">
        <v>3050.0</v>
      </c>
      <c r="G144" s="2" t="s">
        <v>10</v>
      </c>
    </row>
    <row r="145" ht="15.75" customHeight="1">
      <c r="A145" s="1" t="s">
        <v>7</v>
      </c>
      <c r="B145" s="2" t="s">
        <v>13</v>
      </c>
      <c r="C145" s="2">
        <v>40.7</v>
      </c>
      <c r="D145" s="2">
        <v>17.0</v>
      </c>
      <c r="E145" s="2">
        <v>190.0</v>
      </c>
      <c r="F145" s="2">
        <v>3725.0</v>
      </c>
      <c r="G145" s="2" t="s">
        <v>9</v>
      </c>
    </row>
    <row r="146" ht="15.75" customHeight="1">
      <c r="A146" s="1" t="s">
        <v>7</v>
      </c>
      <c r="B146" s="2" t="s">
        <v>13</v>
      </c>
      <c r="C146" s="2">
        <v>37.3</v>
      </c>
      <c r="D146" s="2">
        <v>16.8</v>
      </c>
      <c r="E146" s="2">
        <v>192.0</v>
      </c>
      <c r="F146" s="2">
        <v>3000.0</v>
      </c>
      <c r="G146" s="2" t="s">
        <v>10</v>
      </c>
    </row>
    <row r="147" ht="15.75" customHeight="1">
      <c r="A147" s="1" t="s">
        <v>7</v>
      </c>
      <c r="B147" s="2" t="s">
        <v>13</v>
      </c>
      <c r="C147" s="2">
        <v>39.0</v>
      </c>
      <c r="D147" s="2">
        <v>18.7</v>
      </c>
      <c r="E147" s="2">
        <v>185.0</v>
      </c>
      <c r="F147" s="2">
        <v>3650.0</v>
      </c>
      <c r="G147" s="2" t="s">
        <v>9</v>
      </c>
    </row>
    <row r="148" ht="15.75" customHeight="1">
      <c r="A148" s="1" t="s">
        <v>7</v>
      </c>
      <c r="B148" s="2" t="s">
        <v>13</v>
      </c>
      <c r="C148" s="2">
        <v>39.2</v>
      </c>
      <c r="D148" s="2">
        <v>18.6</v>
      </c>
      <c r="E148" s="2">
        <v>190.0</v>
      </c>
      <c r="F148" s="2">
        <v>4250.0</v>
      </c>
      <c r="G148" s="2" t="s">
        <v>9</v>
      </c>
    </row>
    <row r="149" ht="15.75" customHeight="1">
      <c r="A149" s="1" t="s">
        <v>7</v>
      </c>
      <c r="B149" s="2" t="s">
        <v>13</v>
      </c>
      <c r="C149" s="2">
        <v>36.6</v>
      </c>
      <c r="D149" s="2">
        <v>18.4</v>
      </c>
      <c r="E149" s="2">
        <v>184.0</v>
      </c>
      <c r="F149" s="2">
        <v>3475.0</v>
      </c>
      <c r="G149" s="2" t="s">
        <v>10</v>
      </c>
    </row>
    <row r="150" ht="15.75" customHeight="1">
      <c r="A150" s="1" t="s">
        <v>7</v>
      </c>
      <c r="B150" s="2" t="s">
        <v>13</v>
      </c>
      <c r="C150" s="2">
        <v>36.0</v>
      </c>
      <c r="D150" s="2">
        <v>17.8</v>
      </c>
      <c r="E150" s="2">
        <v>195.0</v>
      </c>
      <c r="F150" s="2">
        <v>3450.0</v>
      </c>
      <c r="G150" s="2" t="s">
        <v>10</v>
      </c>
    </row>
    <row r="151" ht="15.75" customHeight="1">
      <c r="A151" s="1" t="s">
        <v>7</v>
      </c>
      <c r="B151" s="2" t="s">
        <v>13</v>
      </c>
      <c r="C151" s="2">
        <v>37.8</v>
      </c>
      <c r="D151" s="2">
        <v>18.1</v>
      </c>
      <c r="E151" s="2">
        <v>193.0</v>
      </c>
      <c r="F151" s="2">
        <v>3750.0</v>
      </c>
      <c r="G151" s="2" t="s">
        <v>9</v>
      </c>
    </row>
    <row r="152" ht="15.75" customHeight="1">
      <c r="A152" s="1" t="s">
        <v>7</v>
      </c>
      <c r="B152" s="2" t="s">
        <v>13</v>
      </c>
      <c r="C152" s="2">
        <v>36.0</v>
      </c>
      <c r="D152" s="2">
        <v>17.1</v>
      </c>
      <c r="E152" s="2">
        <v>187.0</v>
      </c>
      <c r="F152" s="2">
        <v>3700.0</v>
      </c>
      <c r="G152" s="2" t="s">
        <v>10</v>
      </c>
    </row>
    <row r="153" ht="15.75" customHeight="1">
      <c r="A153" s="1" t="s">
        <v>7</v>
      </c>
      <c r="B153" s="2" t="s">
        <v>13</v>
      </c>
      <c r="C153" s="2">
        <v>41.5</v>
      </c>
      <c r="D153" s="2">
        <v>18.5</v>
      </c>
      <c r="E153" s="2">
        <v>201.0</v>
      </c>
      <c r="F153" s="2">
        <v>4000.0</v>
      </c>
      <c r="G153" s="2" t="s">
        <v>9</v>
      </c>
    </row>
    <row r="154" ht="15.75" customHeight="1">
      <c r="A154" s="1" t="s">
        <v>14</v>
      </c>
      <c r="B154" s="2" t="s">
        <v>13</v>
      </c>
      <c r="C154" s="2">
        <v>46.5</v>
      </c>
      <c r="D154" s="2">
        <v>17.9</v>
      </c>
      <c r="E154" s="2">
        <v>192.0</v>
      </c>
      <c r="F154" s="2">
        <v>3500.0</v>
      </c>
      <c r="G154" s="2" t="s">
        <v>10</v>
      </c>
    </row>
    <row r="155" ht="15.75" customHeight="1">
      <c r="A155" s="1" t="s">
        <v>14</v>
      </c>
      <c r="B155" s="2" t="s">
        <v>13</v>
      </c>
      <c r="C155" s="2">
        <v>50.0</v>
      </c>
      <c r="D155" s="2">
        <v>19.5</v>
      </c>
      <c r="E155" s="2">
        <v>196.0</v>
      </c>
      <c r="F155" s="2">
        <v>3900.0</v>
      </c>
      <c r="G155" s="2" t="s">
        <v>9</v>
      </c>
    </row>
    <row r="156" ht="15.75" customHeight="1">
      <c r="A156" s="1" t="s">
        <v>14</v>
      </c>
      <c r="B156" s="2" t="s">
        <v>13</v>
      </c>
      <c r="C156" s="2">
        <v>51.3</v>
      </c>
      <c r="D156" s="2">
        <v>19.2</v>
      </c>
      <c r="E156" s="2">
        <v>193.0</v>
      </c>
      <c r="F156" s="2">
        <v>3650.0</v>
      </c>
      <c r="G156" s="2" t="s">
        <v>9</v>
      </c>
    </row>
    <row r="157" ht="15.75" customHeight="1">
      <c r="A157" s="1" t="s">
        <v>14</v>
      </c>
      <c r="B157" s="2" t="s">
        <v>13</v>
      </c>
      <c r="C157" s="2">
        <v>45.4</v>
      </c>
      <c r="D157" s="2">
        <v>18.7</v>
      </c>
      <c r="E157" s="2">
        <v>188.0</v>
      </c>
      <c r="F157" s="2">
        <v>3525.0</v>
      </c>
      <c r="G157" s="2" t="s">
        <v>10</v>
      </c>
    </row>
    <row r="158" ht="15.75" customHeight="1">
      <c r="A158" s="1" t="s">
        <v>14</v>
      </c>
      <c r="B158" s="2" t="s">
        <v>13</v>
      </c>
      <c r="C158" s="2">
        <v>52.7</v>
      </c>
      <c r="D158" s="2">
        <v>19.8</v>
      </c>
      <c r="E158" s="2">
        <v>197.0</v>
      </c>
      <c r="F158" s="2">
        <v>3725.0</v>
      </c>
      <c r="G158" s="2" t="s">
        <v>9</v>
      </c>
    </row>
    <row r="159" ht="15.75" customHeight="1">
      <c r="A159" s="1" t="s">
        <v>14</v>
      </c>
      <c r="B159" s="2" t="s">
        <v>13</v>
      </c>
      <c r="C159" s="2">
        <v>45.2</v>
      </c>
      <c r="D159" s="2">
        <v>17.8</v>
      </c>
      <c r="E159" s="2">
        <v>198.0</v>
      </c>
      <c r="F159" s="2">
        <v>3950.0</v>
      </c>
      <c r="G159" s="2" t="s">
        <v>10</v>
      </c>
    </row>
    <row r="160" ht="15.75" customHeight="1">
      <c r="A160" s="1" t="s">
        <v>14</v>
      </c>
      <c r="B160" s="2" t="s">
        <v>13</v>
      </c>
      <c r="C160" s="2">
        <v>46.1</v>
      </c>
      <c r="D160" s="2">
        <v>18.2</v>
      </c>
      <c r="E160" s="2">
        <v>178.0</v>
      </c>
      <c r="F160" s="2">
        <v>3250.0</v>
      </c>
      <c r="G160" s="2" t="s">
        <v>10</v>
      </c>
    </row>
    <row r="161" ht="15.75" customHeight="1">
      <c r="A161" s="1" t="s">
        <v>14</v>
      </c>
      <c r="B161" s="2" t="s">
        <v>13</v>
      </c>
      <c r="C161" s="2">
        <v>51.3</v>
      </c>
      <c r="D161" s="2">
        <v>18.2</v>
      </c>
      <c r="E161" s="2">
        <v>197.0</v>
      </c>
      <c r="F161" s="2">
        <v>3750.0</v>
      </c>
      <c r="G161" s="2" t="s">
        <v>9</v>
      </c>
    </row>
    <row r="162" ht="15.75" customHeight="1">
      <c r="A162" s="1" t="s">
        <v>14</v>
      </c>
      <c r="B162" s="2" t="s">
        <v>13</v>
      </c>
      <c r="C162" s="2">
        <v>46.0</v>
      </c>
      <c r="D162" s="2">
        <v>18.9</v>
      </c>
      <c r="E162" s="2">
        <v>195.0</v>
      </c>
      <c r="F162" s="2">
        <v>4150.0</v>
      </c>
      <c r="G162" s="2" t="s">
        <v>10</v>
      </c>
    </row>
    <row r="163" ht="15.75" customHeight="1">
      <c r="A163" s="1" t="s">
        <v>14</v>
      </c>
      <c r="B163" s="2" t="s">
        <v>13</v>
      </c>
      <c r="C163" s="2">
        <v>51.3</v>
      </c>
      <c r="D163" s="2">
        <v>19.9</v>
      </c>
      <c r="E163" s="2">
        <v>198.0</v>
      </c>
      <c r="F163" s="2">
        <v>3700.0</v>
      </c>
      <c r="G163" s="2" t="s">
        <v>9</v>
      </c>
    </row>
    <row r="164" ht="15.75" customHeight="1">
      <c r="A164" s="1" t="s">
        <v>14</v>
      </c>
      <c r="B164" s="2" t="s">
        <v>13</v>
      </c>
      <c r="C164" s="2">
        <v>46.6</v>
      </c>
      <c r="D164" s="2">
        <v>17.8</v>
      </c>
      <c r="E164" s="2">
        <v>193.0</v>
      </c>
      <c r="F164" s="2">
        <v>3800.0</v>
      </c>
      <c r="G164" s="2" t="s">
        <v>10</v>
      </c>
    </row>
    <row r="165" ht="15.75" customHeight="1">
      <c r="A165" s="1" t="s">
        <v>14</v>
      </c>
      <c r="B165" s="2" t="s">
        <v>13</v>
      </c>
      <c r="C165" s="2">
        <v>51.7</v>
      </c>
      <c r="D165" s="2">
        <v>20.3</v>
      </c>
      <c r="E165" s="2">
        <v>194.0</v>
      </c>
      <c r="F165" s="2">
        <v>3775.0</v>
      </c>
      <c r="G165" s="2" t="s">
        <v>9</v>
      </c>
    </row>
    <row r="166" ht="15.75" customHeight="1">
      <c r="A166" s="1" t="s">
        <v>14</v>
      </c>
      <c r="B166" s="2" t="s">
        <v>13</v>
      </c>
      <c r="C166" s="2">
        <v>47.0</v>
      </c>
      <c r="D166" s="2">
        <v>17.3</v>
      </c>
      <c r="E166" s="2">
        <v>185.0</v>
      </c>
      <c r="F166" s="2">
        <v>3700.0</v>
      </c>
      <c r="G166" s="2" t="s">
        <v>10</v>
      </c>
    </row>
    <row r="167" ht="15.75" customHeight="1">
      <c r="A167" s="1" t="s">
        <v>14</v>
      </c>
      <c r="B167" s="2" t="s">
        <v>13</v>
      </c>
      <c r="C167" s="2">
        <v>52.0</v>
      </c>
      <c r="D167" s="2">
        <v>18.1</v>
      </c>
      <c r="E167" s="2">
        <v>201.0</v>
      </c>
      <c r="F167" s="2">
        <v>4050.0</v>
      </c>
      <c r="G167" s="2" t="s">
        <v>9</v>
      </c>
    </row>
    <row r="168" ht="15.75" customHeight="1">
      <c r="A168" s="1" t="s">
        <v>14</v>
      </c>
      <c r="B168" s="2" t="s">
        <v>13</v>
      </c>
      <c r="C168" s="2">
        <v>45.9</v>
      </c>
      <c r="D168" s="2">
        <v>17.1</v>
      </c>
      <c r="E168" s="2">
        <v>190.0</v>
      </c>
      <c r="F168" s="2">
        <v>3575.0</v>
      </c>
      <c r="G168" s="2" t="s">
        <v>10</v>
      </c>
    </row>
    <row r="169" ht="15.75" customHeight="1">
      <c r="A169" s="1" t="s">
        <v>14</v>
      </c>
      <c r="B169" s="2" t="s">
        <v>13</v>
      </c>
      <c r="C169" s="2">
        <v>50.5</v>
      </c>
      <c r="D169" s="2">
        <v>19.6</v>
      </c>
      <c r="E169" s="2">
        <v>201.0</v>
      </c>
      <c r="F169" s="2">
        <v>4050.0</v>
      </c>
      <c r="G169" s="2" t="s">
        <v>9</v>
      </c>
    </row>
    <row r="170" ht="15.75" customHeight="1">
      <c r="A170" s="1" t="s">
        <v>14</v>
      </c>
      <c r="B170" s="2" t="s">
        <v>13</v>
      </c>
      <c r="C170" s="2">
        <v>50.3</v>
      </c>
      <c r="D170" s="2">
        <v>20.0</v>
      </c>
      <c r="E170" s="2">
        <v>197.0</v>
      </c>
      <c r="F170" s="2">
        <v>3300.0</v>
      </c>
      <c r="G170" s="2" t="s">
        <v>9</v>
      </c>
    </row>
    <row r="171" ht="15.75" customHeight="1">
      <c r="A171" s="1" t="s">
        <v>14</v>
      </c>
      <c r="B171" s="2" t="s">
        <v>13</v>
      </c>
      <c r="C171" s="2">
        <v>58.0</v>
      </c>
      <c r="D171" s="2">
        <v>17.8</v>
      </c>
      <c r="E171" s="2">
        <v>181.0</v>
      </c>
      <c r="F171" s="2">
        <v>3700.0</v>
      </c>
      <c r="G171" s="2" t="s">
        <v>10</v>
      </c>
    </row>
    <row r="172" ht="15.75" customHeight="1">
      <c r="A172" s="1" t="s">
        <v>14</v>
      </c>
      <c r="B172" s="2" t="s">
        <v>13</v>
      </c>
      <c r="C172" s="2">
        <v>46.4</v>
      </c>
      <c r="D172" s="2">
        <v>18.6</v>
      </c>
      <c r="E172" s="2">
        <v>190.0</v>
      </c>
      <c r="F172" s="2">
        <v>3450.0</v>
      </c>
      <c r="G172" s="2" t="s">
        <v>10</v>
      </c>
    </row>
    <row r="173" ht="15.75" customHeight="1">
      <c r="A173" s="1" t="s">
        <v>14</v>
      </c>
      <c r="B173" s="2" t="s">
        <v>13</v>
      </c>
      <c r="C173" s="2">
        <v>49.2</v>
      </c>
      <c r="D173" s="2">
        <v>18.2</v>
      </c>
      <c r="E173" s="2">
        <v>195.0</v>
      </c>
      <c r="F173" s="2">
        <v>4400.0</v>
      </c>
      <c r="G173" s="2" t="s">
        <v>9</v>
      </c>
    </row>
    <row r="174" ht="15.75" customHeight="1">
      <c r="A174" s="1" t="s">
        <v>14</v>
      </c>
      <c r="B174" s="2" t="s">
        <v>13</v>
      </c>
      <c r="C174" s="2">
        <v>42.4</v>
      </c>
      <c r="D174" s="2">
        <v>17.3</v>
      </c>
      <c r="E174" s="2">
        <v>181.0</v>
      </c>
      <c r="F174" s="2">
        <v>3600.0</v>
      </c>
      <c r="G174" s="2" t="s">
        <v>10</v>
      </c>
    </row>
    <row r="175" ht="15.75" customHeight="1">
      <c r="A175" s="1" t="s">
        <v>14</v>
      </c>
      <c r="B175" s="2" t="s">
        <v>13</v>
      </c>
      <c r="C175" s="2">
        <v>48.5</v>
      </c>
      <c r="D175" s="2">
        <v>17.5</v>
      </c>
      <c r="E175" s="2">
        <v>191.0</v>
      </c>
      <c r="F175" s="2">
        <v>3400.0</v>
      </c>
      <c r="G175" s="2" t="s">
        <v>9</v>
      </c>
    </row>
    <row r="176" ht="15.75" customHeight="1">
      <c r="A176" s="1" t="s">
        <v>14</v>
      </c>
      <c r="B176" s="2" t="s">
        <v>13</v>
      </c>
      <c r="C176" s="2">
        <v>43.2</v>
      </c>
      <c r="D176" s="2">
        <v>16.6</v>
      </c>
      <c r="E176" s="2">
        <v>187.0</v>
      </c>
      <c r="F176" s="2">
        <v>2900.0</v>
      </c>
      <c r="G176" s="2" t="s">
        <v>10</v>
      </c>
    </row>
    <row r="177" ht="15.75" customHeight="1">
      <c r="A177" s="1" t="s">
        <v>14</v>
      </c>
      <c r="B177" s="2" t="s">
        <v>13</v>
      </c>
      <c r="C177" s="2">
        <v>50.6</v>
      </c>
      <c r="D177" s="2">
        <v>19.4</v>
      </c>
      <c r="E177" s="2">
        <v>193.0</v>
      </c>
      <c r="F177" s="2">
        <v>3800.0</v>
      </c>
      <c r="G177" s="2" t="s">
        <v>9</v>
      </c>
    </row>
    <row r="178" ht="15.75" customHeight="1">
      <c r="A178" s="1" t="s">
        <v>14</v>
      </c>
      <c r="B178" s="2" t="s">
        <v>13</v>
      </c>
      <c r="C178" s="2">
        <v>46.7</v>
      </c>
      <c r="D178" s="2">
        <v>17.9</v>
      </c>
      <c r="E178" s="2">
        <v>195.0</v>
      </c>
      <c r="F178" s="2">
        <v>3300.0</v>
      </c>
      <c r="G178" s="2" t="s">
        <v>10</v>
      </c>
    </row>
    <row r="179" ht="15.75" customHeight="1">
      <c r="A179" s="1" t="s">
        <v>14</v>
      </c>
      <c r="B179" s="2" t="s">
        <v>13</v>
      </c>
      <c r="C179" s="2">
        <v>52.0</v>
      </c>
      <c r="D179" s="2">
        <v>19.0</v>
      </c>
      <c r="E179" s="2">
        <v>197.0</v>
      </c>
      <c r="F179" s="2">
        <v>4150.0</v>
      </c>
      <c r="G179" s="2" t="s">
        <v>9</v>
      </c>
    </row>
    <row r="180" ht="15.75" customHeight="1">
      <c r="A180" s="1" t="s">
        <v>14</v>
      </c>
      <c r="B180" s="2" t="s">
        <v>13</v>
      </c>
      <c r="C180" s="2">
        <v>50.5</v>
      </c>
      <c r="D180" s="2">
        <v>18.4</v>
      </c>
      <c r="E180" s="2">
        <v>200.0</v>
      </c>
      <c r="F180" s="2">
        <v>3400.0</v>
      </c>
      <c r="G180" s="2" t="s">
        <v>10</v>
      </c>
    </row>
    <row r="181" ht="15.75" customHeight="1">
      <c r="A181" s="1" t="s">
        <v>14</v>
      </c>
      <c r="B181" s="2" t="s">
        <v>13</v>
      </c>
      <c r="C181" s="2">
        <v>49.5</v>
      </c>
      <c r="D181" s="2">
        <v>19.0</v>
      </c>
      <c r="E181" s="2">
        <v>200.0</v>
      </c>
      <c r="F181" s="2">
        <v>3800.0</v>
      </c>
      <c r="G181" s="2" t="s">
        <v>9</v>
      </c>
    </row>
    <row r="182" ht="15.75" customHeight="1">
      <c r="A182" s="1" t="s">
        <v>14</v>
      </c>
      <c r="B182" s="2" t="s">
        <v>13</v>
      </c>
      <c r="C182" s="2">
        <v>46.4</v>
      </c>
      <c r="D182" s="2">
        <v>17.8</v>
      </c>
      <c r="E182" s="2">
        <v>191.0</v>
      </c>
      <c r="F182" s="2">
        <v>3700.0</v>
      </c>
      <c r="G182" s="2" t="s">
        <v>10</v>
      </c>
    </row>
    <row r="183" ht="15.75" customHeight="1">
      <c r="A183" s="1" t="s">
        <v>14</v>
      </c>
      <c r="B183" s="2" t="s">
        <v>13</v>
      </c>
      <c r="C183" s="2">
        <v>52.8</v>
      </c>
      <c r="D183" s="2">
        <v>20.0</v>
      </c>
      <c r="E183" s="2">
        <v>205.0</v>
      </c>
      <c r="F183" s="2">
        <v>4550.0</v>
      </c>
      <c r="G183" s="2" t="s">
        <v>9</v>
      </c>
    </row>
    <row r="184" ht="15.75" customHeight="1">
      <c r="A184" s="1" t="s">
        <v>14</v>
      </c>
      <c r="B184" s="2" t="s">
        <v>13</v>
      </c>
      <c r="C184" s="2">
        <v>40.9</v>
      </c>
      <c r="D184" s="2">
        <v>16.6</v>
      </c>
      <c r="E184" s="2">
        <v>187.0</v>
      </c>
      <c r="F184" s="2">
        <v>3200.0</v>
      </c>
      <c r="G184" s="2" t="s">
        <v>10</v>
      </c>
    </row>
    <row r="185" ht="15.75" customHeight="1">
      <c r="A185" s="1" t="s">
        <v>14</v>
      </c>
      <c r="B185" s="2" t="s">
        <v>13</v>
      </c>
      <c r="C185" s="2">
        <v>54.2</v>
      </c>
      <c r="D185" s="2">
        <v>20.8</v>
      </c>
      <c r="E185" s="2">
        <v>201.0</v>
      </c>
      <c r="F185" s="2">
        <v>4300.0</v>
      </c>
      <c r="G185" s="2" t="s">
        <v>9</v>
      </c>
    </row>
    <row r="186" ht="15.75" customHeight="1">
      <c r="A186" s="1" t="s">
        <v>14</v>
      </c>
      <c r="B186" s="2" t="s">
        <v>13</v>
      </c>
      <c r="C186" s="2">
        <v>42.5</v>
      </c>
      <c r="D186" s="2">
        <v>16.7</v>
      </c>
      <c r="E186" s="2">
        <v>187.0</v>
      </c>
      <c r="F186" s="2">
        <v>3350.0</v>
      </c>
      <c r="G186" s="2" t="s">
        <v>10</v>
      </c>
    </row>
    <row r="187" ht="15.75" customHeight="1">
      <c r="A187" s="1" t="s">
        <v>14</v>
      </c>
      <c r="B187" s="2" t="s">
        <v>13</v>
      </c>
      <c r="C187" s="2">
        <v>51.0</v>
      </c>
      <c r="D187" s="2">
        <v>18.8</v>
      </c>
      <c r="E187" s="2">
        <v>203.0</v>
      </c>
      <c r="F187" s="2">
        <v>4100.0</v>
      </c>
      <c r="G187" s="2" t="s">
        <v>9</v>
      </c>
    </row>
    <row r="188" ht="15.75" customHeight="1">
      <c r="A188" s="1" t="s">
        <v>14</v>
      </c>
      <c r="B188" s="2" t="s">
        <v>13</v>
      </c>
      <c r="C188" s="2">
        <v>49.7</v>
      </c>
      <c r="D188" s="2">
        <v>18.6</v>
      </c>
      <c r="E188" s="2">
        <v>195.0</v>
      </c>
      <c r="F188" s="2">
        <v>3600.0</v>
      </c>
      <c r="G188" s="2" t="s">
        <v>9</v>
      </c>
    </row>
    <row r="189" ht="15.75" customHeight="1">
      <c r="A189" s="1" t="s">
        <v>14</v>
      </c>
      <c r="B189" s="2" t="s">
        <v>13</v>
      </c>
      <c r="C189" s="2">
        <v>47.5</v>
      </c>
      <c r="D189" s="2">
        <v>16.8</v>
      </c>
      <c r="E189" s="2">
        <v>199.0</v>
      </c>
      <c r="F189" s="2">
        <v>3900.0</v>
      </c>
      <c r="G189" s="2" t="s">
        <v>10</v>
      </c>
    </row>
    <row r="190" ht="15.75" customHeight="1">
      <c r="A190" s="1" t="s">
        <v>14</v>
      </c>
      <c r="B190" s="2" t="s">
        <v>13</v>
      </c>
      <c r="C190" s="2">
        <v>47.6</v>
      </c>
      <c r="D190" s="2">
        <v>18.3</v>
      </c>
      <c r="E190" s="2">
        <v>195.0</v>
      </c>
      <c r="F190" s="2">
        <v>3850.0</v>
      </c>
      <c r="G190" s="2" t="s">
        <v>10</v>
      </c>
    </row>
    <row r="191" ht="15.75" customHeight="1">
      <c r="A191" s="1" t="s">
        <v>14</v>
      </c>
      <c r="B191" s="2" t="s">
        <v>13</v>
      </c>
      <c r="C191" s="2">
        <v>52.0</v>
      </c>
      <c r="D191" s="2">
        <v>20.7</v>
      </c>
      <c r="E191" s="2">
        <v>210.0</v>
      </c>
      <c r="F191" s="2">
        <v>4800.0</v>
      </c>
      <c r="G191" s="2" t="s">
        <v>9</v>
      </c>
    </row>
    <row r="192" ht="15.75" customHeight="1">
      <c r="A192" s="1" t="s">
        <v>14</v>
      </c>
      <c r="B192" s="2" t="s">
        <v>13</v>
      </c>
      <c r="C192" s="2">
        <v>46.9</v>
      </c>
      <c r="D192" s="2">
        <v>16.6</v>
      </c>
      <c r="E192" s="2">
        <v>192.0</v>
      </c>
      <c r="F192" s="2">
        <v>2700.0</v>
      </c>
      <c r="G192" s="2" t="s">
        <v>10</v>
      </c>
    </row>
    <row r="193" ht="15.75" customHeight="1">
      <c r="A193" s="1" t="s">
        <v>14</v>
      </c>
      <c r="B193" s="2" t="s">
        <v>13</v>
      </c>
      <c r="C193" s="2">
        <v>53.5</v>
      </c>
      <c r="D193" s="2">
        <v>19.9</v>
      </c>
      <c r="E193" s="2">
        <v>205.0</v>
      </c>
      <c r="F193" s="2">
        <v>4500.0</v>
      </c>
      <c r="G193" s="2" t="s">
        <v>9</v>
      </c>
    </row>
    <row r="194" ht="15.75" customHeight="1">
      <c r="A194" s="1" t="s">
        <v>14</v>
      </c>
      <c r="B194" s="2" t="s">
        <v>13</v>
      </c>
      <c r="C194" s="2">
        <v>49.0</v>
      </c>
      <c r="D194" s="2">
        <v>19.5</v>
      </c>
      <c r="E194" s="2">
        <v>210.0</v>
      </c>
      <c r="F194" s="2">
        <v>3950.0</v>
      </c>
      <c r="G194" s="2" t="s">
        <v>9</v>
      </c>
    </row>
    <row r="195" ht="15.75" customHeight="1">
      <c r="A195" s="1" t="s">
        <v>14</v>
      </c>
      <c r="B195" s="2" t="s">
        <v>13</v>
      </c>
      <c r="C195" s="2">
        <v>46.2</v>
      </c>
      <c r="D195" s="2">
        <v>17.5</v>
      </c>
      <c r="E195" s="2">
        <v>187.0</v>
      </c>
      <c r="F195" s="2">
        <v>3650.0</v>
      </c>
      <c r="G195" s="2" t="s">
        <v>10</v>
      </c>
    </row>
    <row r="196" ht="15.75" customHeight="1">
      <c r="A196" s="1" t="s">
        <v>14</v>
      </c>
      <c r="B196" s="2" t="s">
        <v>13</v>
      </c>
      <c r="C196" s="2">
        <v>50.9</v>
      </c>
      <c r="D196" s="2">
        <v>19.1</v>
      </c>
      <c r="E196" s="2">
        <v>196.0</v>
      </c>
      <c r="F196" s="2">
        <v>3550.0</v>
      </c>
      <c r="G196" s="2" t="s">
        <v>9</v>
      </c>
    </row>
    <row r="197" ht="15.75" customHeight="1">
      <c r="A197" s="1" t="s">
        <v>14</v>
      </c>
      <c r="B197" s="2" t="s">
        <v>13</v>
      </c>
      <c r="C197" s="2">
        <v>45.5</v>
      </c>
      <c r="D197" s="2">
        <v>17.0</v>
      </c>
      <c r="E197" s="2">
        <v>196.0</v>
      </c>
      <c r="F197" s="2">
        <v>3500.0</v>
      </c>
      <c r="G197" s="2" t="s">
        <v>10</v>
      </c>
    </row>
    <row r="198" ht="15.75" customHeight="1">
      <c r="A198" s="1" t="s">
        <v>14</v>
      </c>
      <c r="B198" s="2" t="s">
        <v>13</v>
      </c>
      <c r="C198" s="2">
        <v>50.9</v>
      </c>
      <c r="D198" s="2">
        <v>17.9</v>
      </c>
      <c r="E198" s="2">
        <v>196.0</v>
      </c>
      <c r="F198" s="2">
        <v>3675.0</v>
      </c>
      <c r="G198" s="2" t="s">
        <v>10</v>
      </c>
    </row>
    <row r="199" ht="15.75" customHeight="1">
      <c r="A199" s="1" t="s">
        <v>14</v>
      </c>
      <c r="B199" s="2" t="s">
        <v>13</v>
      </c>
      <c r="C199" s="2">
        <v>50.8</v>
      </c>
      <c r="D199" s="2">
        <v>18.5</v>
      </c>
      <c r="E199" s="2">
        <v>201.0</v>
      </c>
      <c r="F199" s="2">
        <v>4450.0</v>
      </c>
      <c r="G199" s="2" t="s">
        <v>9</v>
      </c>
    </row>
    <row r="200" ht="15.75" customHeight="1">
      <c r="A200" s="1" t="s">
        <v>14</v>
      </c>
      <c r="B200" s="2" t="s">
        <v>13</v>
      </c>
      <c r="C200" s="2">
        <v>50.1</v>
      </c>
      <c r="D200" s="2">
        <v>17.9</v>
      </c>
      <c r="E200" s="2">
        <v>190.0</v>
      </c>
      <c r="F200" s="2">
        <v>3400.0</v>
      </c>
      <c r="G200" s="2" t="s">
        <v>10</v>
      </c>
    </row>
    <row r="201" ht="15.75" customHeight="1">
      <c r="A201" s="1" t="s">
        <v>14</v>
      </c>
      <c r="B201" s="2" t="s">
        <v>13</v>
      </c>
      <c r="C201" s="2">
        <v>49.0</v>
      </c>
      <c r="D201" s="2">
        <v>19.6</v>
      </c>
      <c r="E201" s="2">
        <v>212.0</v>
      </c>
      <c r="F201" s="2">
        <v>4300.0</v>
      </c>
      <c r="G201" s="2" t="s">
        <v>9</v>
      </c>
    </row>
    <row r="202" ht="15.75" customHeight="1">
      <c r="A202" s="1" t="s">
        <v>14</v>
      </c>
      <c r="B202" s="2" t="s">
        <v>13</v>
      </c>
      <c r="C202" s="2">
        <v>51.5</v>
      </c>
      <c r="D202" s="2">
        <v>18.7</v>
      </c>
      <c r="E202" s="2">
        <v>187.0</v>
      </c>
      <c r="F202" s="2">
        <v>3250.0</v>
      </c>
      <c r="G202" s="2" t="s">
        <v>9</v>
      </c>
    </row>
    <row r="203" ht="15.75" customHeight="1">
      <c r="A203" s="1" t="s">
        <v>14</v>
      </c>
      <c r="B203" s="2" t="s">
        <v>13</v>
      </c>
      <c r="C203" s="2">
        <v>49.8</v>
      </c>
      <c r="D203" s="2">
        <v>17.3</v>
      </c>
      <c r="E203" s="2">
        <v>198.0</v>
      </c>
      <c r="F203" s="2">
        <v>3675.0</v>
      </c>
      <c r="G203" s="2" t="s">
        <v>10</v>
      </c>
    </row>
    <row r="204" ht="15.75" customHeight="1">
      <c r="A204" s="1" t="s">
        <v>14</v>
      </c>
      <c r="B204" s="2" t="s">
        <v>13</v>
      </c>
      <c r="C204" s="2">
        <v>48.1</v>
      </c>
      <c r="D204" s="2">
        <v>16.4</v>
      </c>
      <c r="E204" s="2">
        <v>199.0</v>
      </c>
      <c r="F204" s="2">
        <v>3325.0</v>
      </c>
      <c r="G204" s="2" t="s">
        <v>10</v>
      </c>
    </row>
    <row r="205" ht="15.75" customHeight="1">
      <c r="A205" s="1" t="s">
        <v>14</v>
      </c>
      <c r="B205" s="2" t="s">
        <v>13</v>
      </c>
      <c r="C205" s="2">
        <v>51.4</v>
      </c>
      <c r="D205" s="2">
        <v>19.0</v>
      </c>
      <c r="E205" s="2">
        <v>201.0</v>
      </c>
      <c r="F205" s="2">
        <v>3950.0</v>
      </c>
      <c r="G205" s="2" t="s">
        <v>9</v>
      </c>
    </row>
    <row r="206" ht="15.75" customHeight="1">
      <c r="A206" s="1" t="s">
        <v>14</v>
      </c>
      <c r="B206" s="2" t="s">
        <v>13</v>
      </c>
      <c r="C206" s="2">
        <v>45.7</v>
      </c>
      <c r="D206" s="2">
        <v>17.3</v>
      </c>
      <c r="E206" s="2">
        <v>193.0</v>
      </c>
      <c r="F206" s="2">
        <v>3600.0</v>
      </c>
      <c r="G206" s="2" t="s">
        <v>10</v>
      </c>
    </row>
    <row r="207" ht="15.75" customHeight="1">
      <c r="A207" s="1" t="s">
        <v>14</v>
      </c>
      <c r="B207" s="2" t="s">
        <v>13</v>
      </c>
      <c r="C207" s="2">
        <v>50.7</v>
      </c>
      <c r="D207" s="2">
        <v>19.7</v>
      </c>
      <c r="E207" s="2">
        <v>203.0</v>
      </c>
      <c r="F207" s="2">
        <v>4050.0</v>
      </c>
      <c r="G207" s="2" t="s">
        <v>9</v>
      </c>
    </row>
    <row r="208" ht="15.75" customHeight="1">
      <c r="A208" s="1" t="s">
        <v>14</v>
      </c>
      <c r="B208" s="2" t="s">
        <v>13</v>
      </c>
      <c r="C208" s="2">
        <v>42.5</v>
      </c>
      <c r="D208" s="2">
        <v>17.3</v>
      </c>
      <c r="E208" s="2">
        <v>187.0</v>
      </c>
      <c r="F208" s="2">
        <v>3350.0</v>
      </c>
      <c r="G208" s="2" t="s">
        <v>10</v>
      </c>
    </row>
    <row r="209" ht="15.75" customHeight="1">
      <c r="A209" s="1" t="s">
        <v>14</v>
      </c>
      <c r="B209" s="2" t="s">
        <v>13</v>
      </c>
      <c r="C209" s="2">
        <v>52.2</v>
      </c>
      <c r="D209" s="2">
        <v>18.8</v>
      </c>
      <c r="E209" s="2">
        <v>197.0</v>
      </c>
      <c r="F209" s="2">
        <v>3450.0</v>
      </c>
      <c r="G209" s="2" t="s">
        <v>9</v>
      </c>
    </row>
    <row r="210" ht="15.75" customHeight="1">
      <c r="A210" s="1" t="s">
        <v>14</v>
      </c>
      <c r="B210" s="2" t="s">
        <v>13</v>
      </c>
      <c r="C210" s="2">
        <v>45.2</v>
      </c>
      <c r="D210" s="2">
        <v>16.6</v>
      </c>
      <c r="E210" s="2">
        <v>191.0</v>
      </c>
      <c r="F210" s="2">
        <v>3250.0</v>
      </c>
      <c r="G210" s="2" t="s">
        <v>10</v>
      </c>
    </row>
    <row r="211" ht="15.75" customHeight="1">
      <c r="A211" s="1" t="s">
        <v>14</v>
      </c>
      <c r="B211" s="2" t="s">
        <v>13</v>
      </c>
      <c r="C211" s="2">
        <v>49.3</v>
      </c>
      <c r="D211" s="2">
        <v>19.9</v>
      </c>
      <c r="E211" s="2">
        <v>203.0</v>
      </c>
      <c r="F211" s="2">
        <v>4050.0</v>
      </c>
      <c r="G211" s="2" t="s">
        <v>9</v>
      </c>
    </row>
    <row r="212" ht="15.75" customHeight="1">
      <c r="A212" s="1" t="s">
        <v>14</v>
      </c>
      <c r="B212" s="2" t="s">
        <v>13</v>
      </c>
      <c r="C212" s="2">
        <v>50.2</v>
      </c>
      <c r="D212" s="2">
        <v>18.8</v>
      </c>
      <c r="E212" s="2">
        <v>202.0</v>
      </c>
      <c r="F212" s="2">
        <v>3800.0</v>
      </c>
      <c r="G212" s="2" t="s">
        <v>9</v>
      </c>
    </row>
    <row r="213" ht="15.75" customHeight="1">
      <c r="A213" s="1" t="s">
        <v>14</v>
      </c>
      <c r="B213" s="2" t="s">
        <v>13</v>
      </c>
      <c r="C213" s="2">
        <v>45.6</v>
      </c>
      <c r="D213" s="2">
        <v>19.4</v>
      </c>
      <c r="E213" s="2">
        <v>194.0</v>
      </c>
      <c r="F213" s="2">
        <v>3525.0</v>
      </c>
      <c r="G213" s="2" t="s">
        <v>10</v>
      </c>
    </row>
    <row r="214" ht="15.75" customHeight="1">
      <c r="A214" s="1" t="s">
        <v>14</v>
      </c>
      <c r="B214" s="2" t="s">
        <v>13</v>
      </c>
      <c r="C214" s="2">
        <v>51.9</v>
      </c>
      <c r="D214" s="2">
        <v>19.5</v>
      </c>
      <c r="E214" s="2">
        <v>206.0</v>
      </c>
      <c r="F214" s="2">
        <v>3950.0</v>
      </c>
      <c r="G214" s="2" t="s">
        <v>9</v>
      </c>
    </row>
    <row r="215" ht="15.75" customHeight="1">
      <c r="A215" s="1" t="s">
        <v>14</v>
      </c>
      <c r="B215" s="2" t="s">
        <v>13</v>
      </c>
      <c r="C215" s="2">
        <v>46.8</v>
      </c>
      <c r="D215" s="2">
        <v>16.5</v>
      </c>
      <c r="E215" s="2">
        <v>189.0</v>
      </c>
      <c r="F215" s="2">
        <v>3650.0</v>
      </c>
      <c r="G215" s="2" t="s">
        <v>10</v>
      </c>
    </row>
    <row r="216" ht="15.75" customHeight="1">
      <c r="A216" s="1" t="s">
        <v>14</v>
      </c>
      <c r="B216" s="2" t="s">
        <v>13</v>
      </c>
      <c r="C216" s="2">
        <v>45.7</v>
      </c>
      <c r="D216" s="2">
        <v>17.0</v>
      </c>
      <c r="E216" s="2">
        <v>195.0</v>
      </c>
      <c r="F216" s="2">
        <v>3650.0</v>
      </c>
      <c r="G216" s="2" t="s">
        <v>10</v>
      </c>
    </row>
    <row r="217" ht="15.75" customHeight="1">
      <c r="A217" s="1" t="s">
        <v>14</v>
      </c>
      <c r="B217" s="2" t="s">
        <v>13</v>
      </c>
      <c r="C217" s="2">
        <v>55.8</v>
      </c>
      <c r="D217" s="2">
        <v>19.8</v>
      </c>
      <c r="E217" s="2">
        <v>207.0</v>
      </c>
      <c r="F217" s="2">
        <v>4000.0</v>
      </c>
      <c r="G217" s="2" t="s">
        <v>9</v>
      </c>
    </row>
    <row r="218" ht="15.75" customHeight="1">
      <c r="A218" s="1" t="s">
        <v>14</v>
      </c>
      <c r="B218" s="2" t="s">
        <v>13</v>
      </c>
      <c r="C218" s="2">
        <v>43.5</v>
      </c>
      <c r="D218" s="2">
        <v>18.1</v>
      </c>
      <c r="E218" s="2">
        <v>202.0</v>
      </c>
      <c r="F218" s="2">
        <v>3400.0</v>
      </c>
      <c r="G218" s="2" t="s">
        <v>10</v>
      </c>
    </row>
    <row r="219" ht="15.75" customHeight="1">
      <c r="A219" s="1" t="s">
        <v>14</v>
      </c>
      <c r="B219" s="2" t="s">
        <v>13</v>
      </c>
      <c r="C219" s="2">
        <v>49.6</v>
      </c>
      <c r="D219" s="2">
        <v>18.2</v>
      </c>
      <c r="E219" s="2">
        <v>193.0</v>
      </c>
      <c r="F219" s="2">
        <v>3775.0</v>
      </c>
      <c r="G219" s="2" t="s">
        <v>9</v>
      </c>
    </row>
    <row r="220" ht="15.75" customHeight="1">
      <c r="A220" s="1" t="s">
        <v>14</v>
      </c>
      <c r="B220" s="2" t="s">
        <v>13</v>
      </c>
      <c r="C220" s="2">
        <v>50.8</v>
      </c>
      <c r="D220" s="2">
        <v>19.0</v>
      </c>
      <c r="E220" s="2">
        <v>210.0</v>
      </c>
      <c r="F220" s="2">
        <v>4100.0</v>
      </c>
      <c r="G220" s="2" t="s">
        <v>9</v>
      </c>
    </row>
    <row r="221" ht="15.75" customHeight="1">
      <c r="A221" s="1" t="s">
        <v>14</v>
      </c>
      <c r="B221" s="2" t="s">
        <v>13</v>
      </c>
      <c r="C221" s="2">
        <v>50.2</v>
      </c>
      <c r="D221" s="2">
        <v>18.7</v>
      </c>
      <c r="E221" s="2">
        <v>198.0</v>
      </c>
      <c r="F221" s="2">
        <v>3775.0</v>
      </c>
      <c r="G221" s="2" t="s">
        <v>10</v>
      </c>
    </row>
    <row r="222" ht="15.75" customHeight="1">
      <c r="A222" s="1" t="s">
        <v>15</v>
      </c>
      <c r="B222" s="2" t="s">
        <v>12</v>
      </c>
      <c r="C222" s="2">
        <v>46.1</v>
      </c>
      <c r="D222" s="2">
        <v>13.2</v>
      </c>
      <c r="E222" s="2">
        <v>211.0</v>
      </c>
      <c r="F222" s="2">
        <v>4500.0</v>
      </c>
      <c r="G222" s="2" t="s">
        <v>10</v>
      </c>
    </row>
    <row r="223" ht="15.75" customHeight="1">
      <c r="A223" s="1" t="s">
        <v>15</v>
      </c>
      <c r="B223" s="2" t="s">
        <v>12</v>
      </c>
      <c r="C223" s="2">
        <v>50.0</v>
      </c>
      <c r="D223" s="2">
        <v>16.3</v>
      </c>
      <c r="E223" s="2">
        <v>230.0</v>
      </c>
      <c r="F223" s="2">
        <v>5700.0</v>
      </c>
      <c r="G223" s="2" t="s">
        <v>9</v>
      </c>
    </row>
    <row r="224" ht="15.75" customHeight="1">
      <c r="A224" s="1" t="s">
        <v>15</v>
      </c>
      <c r="B224" s="2" t="s">
        <v>12</v>
      </c>
      <c r="C224" s="2">
        <v>48.7</v>
      </c>
      <c r="D224" s="2">
        <v>14.1</v>
      </c>
      <c r="E224" s="2">
        <v>210.0</v>
      </c>
      <c r="F224" s="2">
        <v>4450.0</v>
      </c>
      <c r="G224" s="2" t="s">
        <v>10</v>
      </c>
    </row>
    <row r="225" ht="15.75" customHeight="1">
      <c r="A225" s="1" t="s">
        <v>15</v>
      </c>
      <c r="B225" s="2" t="s">
        <v>12</v>
      </c>
      <c r="C225" s="2">
        <v>50.0</v>
      </c>
      <c r="D225" s="2">
        <v>15.2</v>
      </c>
      <c r="E225" s="2">
        <v>218.0</v>
      </c>
      <c r="F225" s="2">
        <v>5700.0</v>
      </c>
      <c r="G225" s="2" t="s">
        <v>9</v>
      </c>
    </row>
    <row r="226" ht="15.75" customHeight="1">
      <c r="A226" s="1" t="s">
        <v>15</v>
      </c>
      <c r="B226" s="2" t="s">
        <v>12</v>
      </c>
      <c r="C226" s="2">
        <v>47.6</v>
      </c>
      <c r="D226" s="2">
        <v>14.5</v>
      </c>
      <c r="E226" s="2">
        <v>215.0</v>
      </c>
      <c r="F226" s="2">
        <v>5400.0</v>
      </c>
      <c r="G226" s="2" t="s">
        <v>9</v>
      </c>
    </row>
    <row r="227" ht="15.75" customHeight="1">
      <c r="A227" s="1" t="s">
        <v>15</v>
      </c>
      <c r="B227" s="2" t="s">
        <v>12</v>
      </c>
      <c r="C227" s="2">
        <v>46.5</v>
      </c>
      <c r="D227" s="2">
        <v>13.5</v>
      </c>
      <c r="E227" s="2">
        <v>210.0</v>
      </c>
      <c r="F227" s="2">
        <v>4550.0</v>
      </c>
      <c r="G227" s="2" t="s">
        <v>10</v>
      </c>
    </row>
    <row r="228" ht="15.75" customHeight="1">
      <c r="A228" s="1" t="s">
        <v>15</v>
      </c>
      <c r="B228" s="2" t="s">
        <v>12</v>
      </c>
      <c r="C228" s="2">
        <v>45.4</v>
      </c>
      <c r="D228" s="2">
        <v>14.6</v>
      </c>
      <c r="E228" s="2">
        <v>211.0</v>
      </c>
      <c r="F228" s="2">
        <v>4800.0</v>
      </c>
      <c r="G228" s="2" t="s">
        <v>10</v>
      </c>
    </row>
    <row r="229" ht="15.75" customHeight="1">
      <c r="A229" s="1" t="s">
        <v>15</v>
      </c>
      <c r="B229" s="2" t="s">
        <v>12</v>
      </c>
      <c r="C229" s="2">
        <v>46.7</v>
      </c>
      <c r="D229" s="2">
        <v>15.3</v>
      </c>
      <c r="E229" s="2">
        <v>219.0</v>
      </c>
      <c r="F229" s="2">
        <v>5200.0</v>
      </c>
      <c r="G229" s="2" t="s">
        <v>9</v>
      </c>
    </row>
    <row r="230" ht="15.75" customHeight="1">
      <c r="A230" s="1" t="s">
        <v>15</v>
      </c>
      <c r="B230" s="2" t="s">
        <v>12</v>
      </c>
      <c r="C230" s="2">
        <v>43.3</v>
      </c>
      <c r="D230" s="2">
        <v>13.4</v>
      </c>
      <c r="E230" s="2">
        <v>209.0</v>
      </c>
      <c r="F230" s="2">
        <v>4400.0</v>
      </c>
      <c r="G230" s="2" t="s">
        <v>10</v>
      </c>
    </row>
    <row r="231" ht="15.75" customHeight="1">
      <c r="A231" s="1" t="s">
        <v>15</v>
      </c>
      <c r="B231" s="2" t="s">
        <v>12</v>
      </c>
      <c r="C231" s="2">
        <v>46.8</v>
      </c>
      <c r="D231" s="2">
        <v>15.4</v>
      </c>
      <c r="E231" s="2">
        <v>215.0</v>
      </c>
      <c r="F231" s="2">
        <v>5150.0</v>
      </c>
      <c r="G231" s="2" t="s">
        <v>9</v>
      </c>
    </row>
    <row r="232" ht="15.75" customHeight="1">
      <c r="A232" s="1" t="s">
        <v>15</v>
      </c>
      <c r="B232" s="2" t="s">
        <v>12</v>
      </c>
      <c r="C232" s="2">
        <v>40.9</v>
      </c>
      <c r="D232" s="2">
        <v>13.7</v>
      </c>
      <c r="E232" s="2">
        <v>214.0</v>
      </c>
      <c r="F232" s="2">
        <v>4650.0</v>
      </c>
      <c r="G232" s="2" t="s">
        <v>10</v>
      </c>
    </row>
    <row r="233" ht="15.75" customHeight="1">
      <c r="A233" s="1" t="s">
        <v>15</v>
      </c>
      <c r="B233" s="2" t="s">
        <v>12</v>
      </c>
      <c r="C233" s="2">
        <v>49.0</v>
      </c>
      <c r="D233" s="2">
        <v>16.1</v>
      </c>
      <c r="E233" s="2">
        <v>216.0</v>
      </c>
      <c r="F233" s="2">
        <v>5550.0</v>
      </c>
      <c r="G233" s="2" t="s">
        <v>9</v>
      </c>
    </row>
    <row r="234" ht="15.75" customHeight="1">
      <c r="A234" s="1" t="s">
        <v>15</v>
      </c>
      <c r="B234" s="2" t="s">
        <v>12</v>
      </c>
      <c r="C234" s="2">
        <v>45.5</v>
      </c>
      <c r="D234" s="2">
        <v>13.7</v>
      </c>
      <c r="E234" s="2">
        <v>214.0</v>
      </c>
      <c r="F234" s="2">
        <v>4650.0</v>
      </c>
      <c r="G234" s="2" t="s">
        <v>10</v>
      </c>
    </row>
    <row r="235" ht="15.75" customHeight="1">
      <c r="A235" s="1" t="s">
        <v>15</v>
      </c>
      <c r="B235" s="2" t="s">
        <v>12</v>
      </c>
      <c r="C235" s="2">
        <v>48.4</v>
      </c>
      <c r="D235" s="2">
        <v>14.6</v>
      </c>
      <c r="E235" s="2">
        <v>213.0</v>
      </c>
      <c r="F235" s="2">
        <v>5850.0</v>
      </c>
      <c r="G235" s="2" t="s">
        <v>9</v>
      </c>
    </row>
    <row r="236" ht="15.75" customHeight="1">
      <c r="A236" s="1" t="s">
        <v>15</v>
      </c>
      <c r="B236" s="2" t="s">
        <v>12</v>
      </c>
      <c r="C236" s="2">
        <v>45.8</v>
      </c>
      <c r="D236" s="2">
        <v>14.6</v>
      </c>
      <c r="E236" s="2">
        <v>210.0</v>
      </c>
      <c r="F236" s="2">
        <v>4200.0</v>
      </c>
      <c r="G236" s="2" t="s">
        <v>10</v>
      </c>
    </row>
    <row r="237" ht="15.75" customHeight="1">
      <c r="A237" s="1" t="s">
        <v>15</v>
      </c>
      <c r="B237" s="2" t="s">
        <v>12</v>
      </c>
      <c r="C237" s="2">
        <v>49.3</v>
      </c>
      <c r="D237" s="2">
        <v>15.7</v>
      </c>
      <c r="E237" s="2">
        <v>217.0</v>
      </c>
      <c r="F237" s="2">
        <v>5850.0</v>
      </c>
      <c r="G237" s="2" t="s">
        <v>9</v>
      </c>
    </row>
    <row r="238" ht="15.75" customHeight="1">
      <c r="A238" s="1" t="s">
        <v>15</v>
      </c>
      <c r="B238" s="2" t="s">
        <v>12</v>
      </c>
      <c r="C238" s="2">
        <v>42.0</v>
      </c>
      <c r="D238" s="2">
        <v>13.5</v>
      </c>
      <c r="E238" s="2">
        <v>210.0</v>
      </c>
      <c r="F238" s="2">
        <v>4150.0</v>
      </c>
      <c r="G238" s="2" t="s">
        <v>10</v>
      </c>
    </row>
    <row r="239" ht="15.75" customHeight="1">
      <c r="A239" s="1" t="s">
        <v>15</v>
      </c>
      <c r="B239" s="2" t="s">
        <v>12</v>
      </c>
      <c r="C239" s="2">
        <v>49.2</v>
      </c>
      <c r="D239" s="2">
        <v>15.2</v>
      </c>
      <c r="E239" s="2">
        <v>221.0</v>
      </c>
      <c r="F239" s="2">
        <v>6300.0</v>
      </c>
      <c r="G239" s="2" t="s">
        <v>9</v>
      </c>
    </row>
    <row r="240" ht="15.75" customHeight="1">
      <c r="A240" s="1" t="s">
        <v>15</v>
      </c>
      <c r="B240" s="2" t="s">
        <v>12</v>
      </c>
      <c r="C240" s="2">
        <v>46.2</v>
      </c>
      <c r="D240" s="2">
        <v>14.5</v>
      </c>
      <c r="E240" s="2">
        <v>209.0</v>
      </c>
      <c r="F240" s="2">
        <v>4800.0</v>
      </c>
      <c r="G240" s="2" t="s">
        <v>10</v>
      </c>
    </row>
    <row r="241" ht="15.75" customHeight="1">
      <c r="A241" s="1" t="s">
        <v>15</v>
      </c>
      <c r="B241" s="2" t="s">
        <v>12</v>
      </c>
      <c r="C241" s="2">
        <v>48.7</v>
      </c>
      <c r="D241" s="2">
        <v>15.1</v>
      </c>
      <c r="E241" s="2">
        <v>222.0</v>
      </c>
      <c r="F241" s="2">
        <v>5350.0</v>
      </c>
      <c r="G241" s="2" t="s">
        <v>9</v>
      </c>
    </row>
    <row r="242" ht="15.75" customHeight="1">
      <c r="A242" s="1" t="s">
        <v>15</v>
      </c>
      <c r="B242" s="2" t="s">
        <v>12</v>
      </c>
      <c r="C242" s="2">
        <v>50.2</v>
      </c>
      <c r="D242" s="2">
        <v>14.3</v>
      </c>
      <c r="E242" s="2">
        <v>218.0</v>
      </c>
      <c r="F242" s="2">
        <v>5700.0</v>
      </c>
      <c r="G242" s="2" t="s">
        <v>9</v>
      </c>
    </row>
    <row r="243" ht="15.75" customHeight="1">
      <c r="A243" s="1" t="s">
        <v>15</v>
      </c>
      <c r="B243" s="2" t="s">
        <v>12</v>
      </c>
      <c r="C243" s="2">
        <v>45.1</v>
      </c>
      <c r="D243" s="2">
        <v>14.5</v>
      </c>
      <c r="E243" s="2">
        <v>215.0</v>
      </c>
      <c r="F243" s="2">
        <v>5000.0</v>
      </c>
      <c r="G243" s="2" t="s">
        <v>10</v>
      </c>
    </row>
    <row r="244" ht="15.75" customHeight="1">
      <c r="A244" s="1" t="s">
        <v>15</v>
      </c>
      <c r="B244" s="2" t="s">
        <v>12</v>
      </c>
      <c r="C244" s="2">
        <v>46.5</v>
      </c>
      <c r="D244" s="2">
        <v>14.5</v>
      </c>
      <c r="E244" s="2">
        <v>213.0</v>
      </c>
      <c r="F244" s="2">
        <v>4400.0</v>
      </c>
      <c r="G244" s="2" t="s">
        <v>10</v>
      </c>
    </row>
    <row r="245" ht="15.75" customHeight="1">
      <c r="A245" s="1" t="s">
        <v>15</v>
      </c>
      <c r="B245" s="2" t="s">
        <v>12</v>
      </c>
      <c r="C245" s="2">
        <v>46.3</v>
      </c>
      <c r="D245" s="2">
        <v>15.8</v>
      </c>
      <c r="E245" s="2">
        <v>215.0</v>
      </c>
      <c r="F245" s="2">
        <v>5050.0</v>
      </c>
      <c r="G245" s="2" t="s">
        <v>9</v>
      </c>
    </row>
    <row r="246" ht="15.75" customHeight="1">
      <c r="A246" s="1" t="s">
        <v>15</v>
      </c>
      <c r="B246" s="2" t="s">
        <v>12</v>
      </c>
      <c r="C246" s="2">
        <v>42.9</v>
      </c>
      <c r="D246" s="2">
        <v>13.1</v>
      </c>
      <c r="E246" s="2">
        <v>215.0</v>
      </c>
      <c r="F246" s="2">
        <v>5000.0</v>
      </c>
      <c r="G246" s="2" t="s">
        <v>10</v>
      </c>
    </row>
    <row r="247" ht="15.75" customHeight="1">
      <c r="A247" s="1" t="s">
        <v>15</v>
      </c>
      <c r="B247" s="2" t="s">
        <v>12</v>
      </c>
      <c r="C247" s="2">
        <v>46.1</v>
      </c>
      <c r="D247" s="2">
        <v>15.1</v>
      </c>
      <c r="E247" s="2">
        <v>215.0</v>
      </c>
      <c r="F247" s="2">
        <v>5100.0</v>
      </c>
      <c r="G247" s="2" t="s">
        <v>9</v>
      </c>
    </row>
    <row r="248" ht="15.75" customHeight="1">
      <c r="A248" s="1" t="s">
        <v>15</v>
      </c>
      <c r="B248" s="2" t="s">
        <v>12</v>
      </c>
      <c r="C248" s="2">
        <v>44.5</v>
      </c>
      <c r="D248" s="2">
        <v>14.3</v>
      </c>
      <c r="E248" s="2">
        <v>216.0</v>
      </c>
      <c r="F248" s="2">
        <v>4100.0</v>
      </c>
      <c r="G248" s="2" t="s">
        <v>11</v>
      </c>
    </row>
    <row r="249" ht="15.75" customHeight="1">
      <c r="A249" s="1" t="s">
        <v>15</v>
      </c>
      <c r="B249" s="2" t="s">
        <v>12</v>
      </c>
      <c r="C249" s="2">
        <v>47.8</v>
      </c>
      <c r="D249" s="2">
        <v>15.0</v>
      </c>
      <c r="E249" s="2">
        <v>215.0</v>
      </c>
      <c r="F249" s="2">
        <v>5650.0</v>
      </c>
      <c r="G249" s="2" t="s">
        <v>9</v>
      </c>
    </row>
    <row r="250" ht="15.75" customHeight="1">
      <c r="A250" s="1" t="s">
        <v>15</v>
      </c>
      <c r="B250" s="2" t="s">
        <v>12</v>
      </c>
      <c r="C250" s="2">
        <v>48.2</v>
      </c>
      <c r="D250" s="2">
        <v>14.3</v>
      </c>
      <c r="E250" s="2">
        <v>210.0</v>
      </c>
      <c r="F250" s="2">
        <v>4600.0</v>
      </c>
      <c r="G250" s="2" t="s">
        <v>10</v>
      </c>
    </row>
    <row r="251" ht="15.75" customHeight="1">
      <c r="A251" s="1" t="s">
        <v>15</v>
      </c>
      <c r="B251" s="2" t="s">
        <v>12</v>
      </c>
      <c r="C251" s="2">
        <v>50.0</v>
      </c>
      <c r="D251" s="2">
        <v>15.3</v>
      </c>
      <c r="E251" s="2">
        <v>220.0</v>
      </c>
      <c r="F251" s="2">
        <v>5550.0</v>
      </c>
      <c r="G251" s="2" t="s">
        <v>9</v>
      </c>
    </row>
    <row r="252" ht="15.75" customHeight="1">
      <c r="A252" s="1" t="s">
        <v>15</v>
      </c>
      <c r="B252" s="2" t="s">
        <v>12</v>
      </c>
      <c r="C252" s="2">
        <v>47.3</v>
      </c>
      <c r="D252" s="2">
        <v>15.3</v>
      </c>
      <c r="E252" s="2">
        <v>222.0</v>
      </c>
      <c r="F252" s="2">
        <v>5250.0</v>
      </c>
      <c r="G252" s="2" t="s">
        <v>9</v>
      </c>
    </row>
    <row r="253" ht="15.75" customHeight="1">
      <c r="A253" s="1" t="s">
        <v>15</v>
      </c>
      <c r="B253" s="2" t="s">
        <v>12</v>
      </c>
      <c r="C253" s="2">
        <v>42.8</v>
      </c>
      <c r="D253" s="2">
        <v>14.2</v>
      </c>
      <c r="E253" s="2">
        <v>209.0</v>
      </c>
      <c r="F253" s="2">
        <v>4700.0</v>
      </c>
      <c r="G253" s="2" t="s">
        <v>10</v>
      </c>
    </row>
    <row r="254" ht="15.75" customHeight="1">
      <c r="A254" s="1" t="s">
        <v>15</v>
      </c>
      <c r="B254" s="2" t="s">
        <v>12</v>
      </c>
      <c r="C254" s="2">
        <v>45.1</v>
      </c>
      <c r="D254" s="2">
        <v>14.5</v>
      </c>
      <c r="E254" s="2">
        <v>207.0</v>
      </c>
      <c r="F254" s="2">
        <v>5050.0</v>
      </c>
      <c r="G254" s="2" t="s">
        <v>10</v>
      </c>
    </row>
    <row r="255" ht="15.75" customHeight="1">
      <c r="A255" s="1" t="s">
        <v>15</v>
      </c>
      <c r="B255" s="2" t="s">
        <v>12</v>
      </c>
      <c r="C255" s="2">
        <v>59.6</v>
      </c>
      <c r="D255" s="2">
        <v>17.0</v>
      </c>
      <c r="E255" s="2">
        <v>230.0</v>
      </c>
      <c r="F255" s="2">
        <v>6050.0</v>
      </c>
      <c r="G255" s="2" t="s">
        <v>9</v>
      </c>
    </row>
    <row r="256" ht="15.75" customHeight="1">
      <c r="A256" s="1" t="s">
        <v>15</v>
      </c>
      <c r="B256" s="2" t="s">
        <v>12</v>
      </c>
      <c r="C256" s="2">
        <v>49.1</v>
      </c>
      <c r="D256" s="2">
        <v>14.8</v>
      </c>
      <c r="E256" s="2">
        <v>220.0</v>
      </c>
      <c r="F256" s="2">
        <v>5150.0</v>
      </c>
      <c r="G256" s="2" t="s">
        <v>10</v>
      </c>
    </row>
    <row r="257" ht="15.75" customHeight="1">
      <c r="A257" s="1" t="s">
        <v>15</v>
      </c>
      <c r="B257" s="2" t="s">
        <v>12</v>
      </c>
      <c r="C257" s="2">
        <v>48.4</v>
      </c>
      <c r="D257" s="2">
        <v>16.3</v>
      </c>
      <c r="E257" s="2">
        <v>220.0</v>
      </c>
      <c r="F257" s="2">
        <v>5400.0</v>
      </c>
      <c r="G257" s="2" t="s">
        <v>9</v>
      </c>
    </row>
    <row r="258" ht="15.75" customHeight="1">
      <c r="A258" s="1" t="s">
        <v>15</v>
      </c>
      <c r="B258" s="2" t="s">
        <v>12</v>
      </c>
      <c r="C258" s="2">
        <v>42.6</v>
      </c>
      <c r="D258" s="2">
        <v>13.7</v>
      </c>
      <c r="E258" s="2">
        <v>213.0</v>
      </c>
      <c r="F258" s="2">
        <v>4950.0</v>
      </c>
      <c r="G258" s="2" t="s">
        <v>10</v>
      </c>
    </row>
    <row r="259" ht="15.75" customHeight="1">
      <c r="A259" s="1" t="s">
        <v>15</v>
      </c>
      <c r="B259" s="2" t="s">
        <v>12</v>
      </c>
      <c r="C259" s="2">
        <v>44.4</v>
      </c>
      <c r="D259" s="2">
        <v>17.3</v>
      </c>
      <c r="E259" s="2">
        <v>219.0</v>
      </c>
      <c r="F259" s="2">
        <v>5250.0</v>
      </c>
      <c r="G259" s="2" t="s">
        <v>9</v>
      </c>
    </row>
    <row r="260" ht="15.75" customHeight="1">
      <c r="A260" s="1" t="s">
        <v>15</v>
      </c>
      <c r="B260" s="2" t="s">
        <v>12</v>
      </c>
      <c r="C260" s="2">
        <v>44.0</v>
      </c>
      <c r="D260" s="2">
        <v>13.6</v>
      </c>
      <c r="E260" s="2">
        <v>208.0</v>
      </c>
      <c r="F260" s="2">
        <v>4350.0</v>
      </c>
      <c r="G260" s="2" t="s">
        <v>10</v>
      </c>
    </row>
    <row r="261" ht="15.75" customHeight="1">
      <c r="A261" s="1" t="s">
        <v>15</v>
      </c>
      <c r="B261" s="2" t="s">
        <v>12</v>
      </c>
      <c r="C261" s="2">
        <v>48.7</v>
      </c>
      <c r="D261" s="2">
        <v>15.7</v>
      </c>
      <c r="E261" s="2">
        <v>208.0</v>
      </c>
      <c r="F261" s="2">
        <v>5350.0</v>
      </c>
      <c r="G261" s="2" t="s">
        <v>9</v>
      </c>
    </row>
    <row r="262" ht="15.75" customHeight="1">
      <c r="A262" s="1" t="s">
        <v>15</v>
      </c>
      <c r="B262" s="2" t="s">
        <v>12</v>
      </c>
      <c r="C262" s="2">
        <v>42.7</v>
      </c>
      <c r="D262" s="2">
        <v>13.7</v>
      </c>
      <c r="E262" s="2">
        <v>208.0</v>
      </c>
      <c r="F262" s="2">
        <v>3950.0</v>
      </c>
      <c r="G262" s="2" t="s">
        <v>10</v>
      </c>
    </row>
    <row r="263" ht="15.75" customHeight="1">
      <c r="A263" s="1" t="s">
        <v>15</v>
      </c>
      <c r="B263" s="2" t="s">
        <v>12</v>
      </c>
      <c r="C263" s="2">
        <v>49.6</v>
      </c>
      <c r="D263" s="2">
        <v>16.0</v>
      </c>
      <c r="E263" s="2">
        <v>225.0</v>
      </c>
      <c r="F263" s="2">
        <v>5700.0</v>
      </c>
      <c r="G263" s="2" t="s">
        <v>9</v>
      </c>
    </row>
    <row r="264" ht="15.75" customHeight="1">
      <c r="A264" s="1" t="s">
        <v>15</v>
      </c>
      <c r="B264" s="2" t="s">
        <v>12</v>
      </c>
      <c r="C264" s="2">
        <v>45.3</v>
      </c>
      <c r="D264" s="2">
        <v>13.7</v>
      </c>
      <c r="E264" s="2">
        <v>210.0</v>
      </c>
      <c r="F264" s="2">
        <v>4300.0</v>
      </c>
      <c r="G264" s="2" t="s">
        <v>10</v>
      </c>
    </row>
    <row r="265" ht="15.75" customHeight="1">
      <c r="A265" s="1" t="s">
        <v>15</v>
      </c>
      <c r="B265" s="2" t="s">
        <v>12</v>
      </c>
      <c r="C265" s="2">
        <v>49.6</v>
      </c>
      <c r="D265" s="2">
        <v>15.0</v>
      </c>
      <c r="E265" s="2">
        <v>216.0</v>
      </c>
      <c r="F265" s="2">
        <v>4750.0</v>
      </c>
      <c r="G265" s="2" t="s">
        <v>9</v>
      </c>
    </row>
    <row r="266" ht="15.75" customHeight="1">
      <c r="A266" s="1" t="s">
        <v>15</v>
      </c>
      <c r="B266" s="2" t="s">
        <v>12</v>
      </c>
      <c r="C266" s="2">
        <v>50.5</v>
      </c>
      <c r="D266" s="2">
        <v>15.9</v>
      </c>
      <c r="E266" s="2">
        <v>222.0</v>
      </c>
      <c r="F266" s="2">
        <v>5550.0</v>
      </c>
      <c r="G266" s="2" t="s">
        <v>9</v>
      </c>
    </row>
    <row r="267" ht="15.75" customHeight="1">
      <c r="A267" s="1" t="s">
        <v>15</v>
      </c>
      <c r="B267" s="2" t="s">
        <v>12</v>
      </c>
      <c r="C267" s="2">
        <v>43.6</v>
      </c>
      <c r="D267" s="2">
        <v>13.9</v>
      </c>
      <c r="E267" s="2">
        <v>217.0</v>
      </c>
      <c r="F267" s="2">
        <v>4900.0</v>
      </c>
      <c r="G267" s="2" t="s">
        <v>10</v>
      </c>
    </row>
    <row r="268" ht="15.75" customHeight="1">
      <c r="A268" s="1" t="s">
        <v>15</v>
      </c>
      <c r="B268" s="2" t="s">
        <v>12</v>
      </c>
      <c r="C268" s="2">
        <v>45.5</v>
      </c>
      <c r="D268" s="2">
        <v>13.9</v>
      </c>
      <c r="E268" s="2">
        <v>210.0</v>
      </c>
      <c r="F268" s="2">
        <v>4200.0</v>
      </c>
      <c r="G268" s="2" t="s">
        <v>10</v>
      </c>
    </row>
    <row r="269" ht="15.75" customHeight="1">
      <c r="A269" s="1" t="s">
        <v>15</v>
      </c>
      <c r="B269" s="2" t="s">
        <v>12</v>
      </c>
      <c r="C269" s="2">
        <v>50.5</v>
      </c>
      <c r="D269" s="2">
        <v>15.9</v>
      </c>
      <c r="E269" s="2">
        <v>225.0</v>
      </c>
      <c r="F269" s="2">
        <v>5400.0</v>
      </c>
      <c r="G269" s="2" t="s">
        <v>9</v>
      </c>
    </row>
    <row r="270" ht="15.75" customHeight="1">
      <c r="A270" s="1" t="s">
        <v>15</v>
      </c>
      <c r="B270" s="2" t="s">
        <v>12</v>
      </c>
      <c r="C270" s="2">
        <v>44.9</v>
      </c>
      <c r="D270" s="2">
        <v>13.3</v>
      </c>
      <c r="E270" s="2">
        <v>213.0</v>
      </c>
      <c r="F270" s="2">
        <v>5100.0</v>
      </c>
      <c r="G270" s="2" t="s">
        <v>10</v>
      </c>
    </row>
    <row r="271" ht="15.75" customHeight="1">
      <c r="A271" s="1" t="s">
        <v>15</v>
      </c>
      <c r="B271" s="2" t="s">
        <v>12</v>
      </c>
      <c r="C271" s="2">
        <v>45.2</v>
      </c>
      <c r="D271" s="2">
        <v>15.8</v>
      </c>
      <c r="E271" s="2">
        <v>215.0</v>
      </c>
      <c r="F271" s="2">
        <v>5300.0</v>
      </c>
      <c r="G271" s="2" t="s">
        <v>9</v>
      </c>
    </row>
    <row r="272" ht="15.75" customHeight="1">
      <c r="A272" s="1" t="s">
        <v>15</v>
      </c>
      <c r="B272" s="2" t="s">
        <v>12</v>
      </c>
      <c r="C272" s="2">
        <v>46.6</v>
      </c>
      <c r="D272" s="2">
        <v>14.2</v>
      </c>
      <c r="E272" s="2">
        <v>210.0</v>
      </c>
      <c r="F272" s="2">
        <v>4850.0</v>
      </c>
      <c r="G272" s="2" t="s">
        <v>10</v>
      </c>
    </row>
    <row r="273" ht="15.75" customHeight="1">
      <c r="A273" s="1" t="s">
        <v>15</v>
      </c>
      <c r="B273" s="2" t="s">
        <v>12</v>
      </c>
      <c r="C273" s="2">
        <v>48.5</v>
      </c>
      <c r="D273" s="2">
        <v>14.1</v>
      </c>
      <c r="E273" s="2">
        <v>220.0</v>
      </c>
      <c r="F273" s="2">
        <v>5300.0</v>
      </c>
      <c r="G273" s="2" t="s">
        <v>9</v>
      </c>
    </row>
    <row r="274" ht="15.75" customHeight="1">
      <c r="A274" s="1" t="s">
        <v>15</v>
      </c>
      <c r="B274" s="2" t="s">
        <v>12</v>
      </c>
      <c r="C274" s="2">
        <v>45.1</v>
      </c>
      <c r="D274" s="2">
        <v>14.4</v>
      </c>
      <c r="E274" s="2">
        <v>210.0</v>
      </c>
      <c r="F274" s="2">
        <v>4400.0</v>
      </c>
      <c r="G274" s="2" t="s">
        <v>10</v>
      </c>
    </row>
    <row r="275" ht="15.75" customHeight="1">
      <c r="A275" s="1" t="s">
        <v>15</v>
      </c>
      <c r="B275" s="2" t="s">
        <v>12</v>
      </c>
      <c r="C275" s="2">
        <v>50.1</v>
      </c>
      <c r="D275" s="2">
        <v>15.0</v>
      </c>
      <c r="E275" s="2">
        <v>225.0</v>
      </c>
      <c r="F275" s="2">
        <v>5000.0</v>
      </c>
      <c r="G275" s="2" t="s">
        <v>9</v>
      </c>
    </row>
    <row r="276" ht="15.75" customHeight="1">
      <c r="A276" s="1" t="s">
        <v>15</v>
      </c>
      <c r="B276" s="2" t="s">
        <v>12</v>
      </c>
      <c r="C276" s="2">
        <v>46.5</v>
      </c>
      <c r="D276" s="2">
        <v>14.4</v>
      </c>
      <c r="E276" s="2">
        <v>217.0</v>
      </c>
      <c r="F276" s="2">
        <v>4900.0</v>
      </c>
      <c r="G276" s="2" t="s">
        <v>10</v>
      </c>
    </row>
    <row r="277" ht="15.75" customHeight="1">
      <c r="A277" s="1" t="s">
        <v>15</v>
      </c>
      <c r="B277" s="2" t="s">
        <v>12</v>
      </c>
      <c r="C277" s="2">
        <v>45.0</v>
      </c>
      <c r="D277" s="2">
        <v>15.4</v>
      </c>
      <c r="E277" s="2">
        <v>220.0</v>
      </c>
      <c r="F277" s="2">
        <v>5050.0</v>
      </c>
      <c r="G277" s="2" t="s">
        <v>9</v>
      </c>
    </row>
    <row r="278" ht="15.75" customHeight="1">
      <c r="A278" s="1" t="s">
        <v>15</v>
      </c>
      <c r="B278" s="2" t="s">
        <v>12</v>
      </c>
      <c r="C278" s="2">
        <v>43.8</v>
      </c>
      <c r="D278" s="2">
        <v>13.9</v>
      </c>
      <c r="E278" s="2">
        <v>208.0</v>
      </c>
      <c r="F278" s="2">
        <v>4300.0</v>
      </c>
      <c r="G278" s="2" t="s">
        <v>10</v>
      </c>
    </row>
    <row r="279" ht="15.75" customHeight="1">
      <c r="A279" s="1" t="s">
        <v>15</v>
      </c>
      <c r="B279" s="2" t="s">
        <v>12</v>
      </c>
      <c r="C279" s="2">
        <v>45.5</v>
      </c>
      <c r="D279" s="2">
        <v>15.0</v>
      </c>
      <c r="E279" s="2">
        <v>220.0</v>
      </c>
      <c r="F279" s="2">
        <v>5000.0</v>
      </c>
      <c r="G279" s="2" t="s">
        <v>9</v>
      </c>
    </row>
    <row r="280" ht="15.75" customHeight="1">
      <c r="A280" s="1" t="s">
        <v>15</v>
      </c>
      <c r="B280" s="2" t="s">
        <v>12</v>
      </c>
      <c r="C280" s="2">
        <v>43.2</v>
      </c>
      <c r="D280" s="2">
        <v>14.5</v>
      </c>
      <c r="E280" s="2">
        <v>208.0</v>
      </c>
      <c r="F280" s="2">
        <v>4450.0</v>
      </c>
      <c r="G280" s="2" t="s">
        <v>10</v>
      </c>
    </row>
    <row r="281" ht="15.75" customHeight="1">
      <c r="A281" s="1" t="s">
        <v>15</v>
      </c>
      <c r="B281" s="2" t="s">
        <v>12</v>
      </c>
      <c r="C281" s="2">
        <v>50.4</v>
      </c>
      <c r="D281" s="2">
        <v>15.3</v>
      </c>
      <c r="E281" s="2">
        <v>224.0</v>
      </c>
      <c r="F281" s="2">
        <v>5550.0</v>
      </c>
      <c r="G281" s="2" t="s">
        <v>9</v>
      </c>
    </row>
    <row r="282" ht="15.75" customHeight="1">
      <c r="A282" s="1" t="s">
        <v>15</v>
      </c>
      <c r="B282" s="2" t="s">
        <v>12</v>
      </c>
      <c r="C282" s="2">
        <v>45.3</v>
      </c>
      <c r="D282" s="2">
        <v>13.8</v>
      </c>
      <c r="E282" s="2">
        <v>208.0</v>
      </c>
      <c r="F282" s="2">
        <v>4200.0</v>
      </c>
      <c r="G282" s="2" t="s">
        <v>10</v>
      </c>
    </row>
    <row r="283" ht="15.75" customHeight="1">
      <c r="A283" s="1" t="s">
        <v>15</v>
      </c>
      <c r="B283" s="2" t="s">
        <v>12</v>
      </c>
      <c r="C283" s="2">
        <v>46.2</v>
      </c>
      <c r="D283" s="2">
        <v>14.9</v>
      </c>
      <c r="E283" s="2">
        <v>221.0</v>
      </c>
      <c r="F283" s="2">
        <v>5300.0</v>
      </c>
      <c r="G283" s="2" t="s">
        <v>9</v>
      </c>
    </row>
    <row r="284" ht="15.75" customHeight="1">
      <c r="A284" s="1" t="s">
        <v>15</v>
      </c>
      <c r="B284" s="2" t="s">
        <v>12</v>
      </c>
      <c r="C284" s="2">
        <v>45.7</v>
      </c>
      <c r="D284" s="2">
        <v>13.9</v>
      </c>
      <c r="E284" s="2">
        <v>214.0</v>
      </c>
      <c r="F284" s="2">
        <v>4400.0</v>
      </c>
      <c r="G284" s="2" t="s">
        <v>10</v>
      </c>
    </row>
    <row r="285" ht="15.75" customHeight="1">
      <c r="A285" s="1" t="s">
        <v>15</v>
      </c>
      <c r="B285" s="2" t="s">
        <v>12</v>
      </c>
      <c r="C285" s="2">
        <v>54.3</v>
      </c>
      <c r="D285" s="2">
        <v>15.7</v>
      </c>
      <c r="E285" s="2">
        <v>231.0</v>
      </c>
      <c r="F285" s="2">
        <v>5650.0</v>
      </c>
      <c r="G285" s="2" t="s">
        <v>9</v>
      </c>
    </row>
    <row r="286" ht="15.75" customHeight="1">
      <c r="A286" s="1" t="s">
        <v>15</v>
      </c>
      <c r="B286" s="2" t="s">
        <v>12</v>
      </c>
      <c r="C286" s="2">
        <v>45.8</v>
      </c>
      <c r="D286" s="2">
        <v>14.2</v>
      </c>
      <c r="E286" s="2">
        <v>219.0</v>
      </c>
      <c r="F286" s="2">
        <v>4700.0</v>
      </c>
      <c r="G286" s="2" t="s">
        <v>10</v>
      </c>
    </row>
    <row r="287" ht="15.75" customHeight="1">
      <c r="A287" s="1" t="s">
        <v>15</v>
      </c>
      <c r="B287" s="2" t="s">
        <v>12</v>
      </c>
      <c r="C287" s="2">
        <v>49.8</v>
      </c>
      <c r="D287" s="2">
        <v>16.8</v>
      </c>
      <c r="E287" s="2">
        <v>230.0</v>
      </c>
      <c r="F287" s="2">
        <v>5700.0</v>
      </c>
      <c r="G287" s="2" t="s">
        <v>9</v>
      </c>
    </row>
    <row r="288" ht="15.75" customHeight="1">
      <c r="A288" s="1" t="s">
        <v>15</v>
      </c>
      <c r="B288" s="2" t="s">
        <v>12</v>
      </c>
      <c r="C288" s="2">
        <v>46.2</v>
      </c>
      <c r="D288" s="2">
        <v>14.4</v>
      </c>
      <c r="E288" s="2">
        <v>214.0</v>
      </c>
      <c r="F288" s="2">
        <v>4650.0</v>
      </c>
      <c r="G288" s="2" t="s">
        <v>11</v>
      </c>
    </row>
    <row r="289" ht="15.75" customHeight="1">
      <c r="A289" s="1" t="s">
        <v>15</v>
      </c>
      <c r="B289" s="2" t="s">
        <v>12</v>
      </c>
      <c r="C289" s="2">
        <v>49.5</v>
      </c>
      <c r="D289" s="2">
        <v>16.2</v>
      </c>
      <c r="E289" s="2">
        <v>229.0</v>
      </c>
      <c r="F289" s="2">
        <v>5800.0</v>
      </c>
      <c r="G289" s="2" t="s">
        <v>9</v>
      </c>
    </row>
    <row r="290" ht="15.75" customHeight="1">
      <c r="A290" s="1" t="s">
        <v>15</v>
      </c>
      <c r="B290" s="2" t="s">
        <v>12</v>
      </c>
      <c r="C290" s="2">
        <v>43.5</v>
      </c>
      <c r="D290" s="2">
        <v>14.2</v>
      </c>
      <c r="E290" s="2">
        <v>220.0</v>
      </c>
      <c r="F290" s="2">
        <v>4700.0</v>
      </c>
      <c r="G290" s="2" t="s">
        <v>10</v>
      </c>
    </row>
    <row r="291" ht="15.75" customHeight="1">
      <c r="A291" s="1" t="s">
        <v>15</v>
      </c>
      <c r="B291" s="2" t="s">
        <v>12</v>
      </c>
      <c r="C291" s="2">
        <v>50.7</v>
      </c>
      <c r="D291" s="2">
        <v>15.0</v>
      </c>
      <c r="E291" s="2">
        <v>223.0</v>
      </c>
      <c r="F291" s="2">
        <v>5550.0</v>
      </c>
      <c r="G291" s="2" t="s">
        <v>9</v>
      </c>
    </row>
    <row r="292" ht="15.75" customHeight="1">
      <c r="A292" s="1" t="s">
        <v>15</v>
      </c>
      <c r="B292" s="2" t="s">
        <v>12</v>
      </c>
      <c r="C292" s="2">
        <v>47.7</v>
      </c>
      <c r="D292" s="2">
        <v>15.0</v>
      </c>
      <c r="E292" s="2">
        <v>216.0</v>
      </c>
      <c r="F292" s="2">
        <v>4750.0</v>
      </c>
      <c r="G292" s="2" t="s">
        <v>10</v>
      </c>
    </row>
    <row r="293" ht="15.75" customHeight="1">
      <c r="A293" s="1" t="s">
        <v>15</v>
      </c>
      <c r="B293" s="2" t="s">
        <v>12</v>
      </c>
      <c r="C293" s="2">
        <v>46.4</v>
      </c>
      <c r="D293" s="2">
        <v>15.6</v>
      </c>
      <c r="E293" s="2">
        <v>221.0</v>
      </c>
      <c r="F293" s="2">
        <v>5000.0</v>
      </c>
      <c r="G293" s="2" t="s">
        <v>9</v>
      </c>
    </row>
    <row r="294" ht="15.75" customHeight="1">
      <c r="A294" s="1" t="s">
        <v>15</v>
      </c>
      <c r="B294" s="2" t="s">
        <v>12</v>
      </c>
      <c r="C294" s="2">
        <v>48.2</v>
      </c>
      <c r="D294" s="2">
        <v>15.6</v>
      </c>
      <c r="E294" s="2">
        <v>221.0</v>
      </c>
      <c r="F294" s="2">
        <v>5100.0</v>
      </c>
      <c r="G294" s="2" t="s">
        <v>9</v>
      </c>
    </row>
    <row r="295" ht="15.75" customHeight="1">
      <c r="A295" s="1" t="s">
        <v>15</v>
      </c>
      <c r="B295" s="2" t="s">
        <v>12</v>
      </c>
      <c r="C295" s="2">
        <v>46.5</v>
      </c>
      <c r="D295" s="2">
        <v>14.8</v>
      </c>
      <c r="E295" s="2">
        <v>217.0</v>
      </c>
      <c r="F295" s="2">
        <v>5200.0</v>
      </c>
      <c r="G295" s="2" t="s">
        <v>10</v>
      </c>
    </row>
    <row r="296" ht="15.75" customHeight="1">
      <c r="A296" s="1" t="s">
        <v>15</v>
      </c>
      <c r="B296" s="2" t="s">
        <v>12</v>
      </c>
      <c r="C296" s="2">
        <v>46.4</v>
      </c>
      <c r="D296" s="2">
        <v>15.0</v>
      </c>
      <c r="E296" s="2">
        <v>216.0</v>
      </c>
      <c r="F296" s="2">
        <v>4700.0</v>
      </c>
      <c r="G296" s="2" t="s">
        <v>10</v>
      </c>
    </row>
    <row r="297" ht="15.75" customHeight="1">
      <c r="A297" s="1" t="s">
        <v>15</v>
      </c>
      <c r="B297" s="2" t="s">
        <v>12</v>
      </c>
      <c r="C297" s="2">
        <v>48.6</v>
      </c>
      <c r="D297" s="2">
        <v>16.0</v>
      </c>
      <c r="E297" s="2">
        <v>230.0</v>
      </c>
      <c r="F297" s="2">
        <v>5800.0</v>
      </c>
      <c r="G297" s="2" t="s">
        <v>9</v>
      </c>
    </row>
    <row r="298" ht="15.75" customHeight="1">
      <c r="A298" s="1" t="s">
        <v>15</v>
      </c>
      <c r="B298" s="2" t="s">
        <v>12</v>
      </c>
      <c r="C298" s="2">
        <v>47.5</v>
      </c>
      <c r="D298" s="2">
        <v>14.2</v>
      </c>
      <c r="E298" s="2">
        <v>209.0</v>
      </c>
      <c r="F298" s="2">
        <v>4600.0</v>
      </c>
      <c r="G298" s="2" t="s">
        <v>10</v>
      </c>
    </row>
    <row r="299" ht="15.75" customHeight="1">
      <c r="A299" s="1" t="s">
        <v>15</v>
      </c>
      <c r="B299" s="2" t="s">
        <v>12</v>
      </c>
      <c r="C299" s="2">
        <v>51.1</v>
      </c>
      <c r="D299" s="2">
        <v>16.3</v>
      </c>
      <c r="E299" s="2">
        <v>220.0</v>
      </c>
      <c r="F299" s="2">
        <v>6000.0</v>
      </c>
      <c r="G299" s="2" t="s">
        <v>9</v>
      </c>
    </row>
    <row r="300" ht="15.75" customHeight="1">
      <c r="A300" s="1" t="s">
        <v>15</v>
      </c>
      <c r="B300" s="2" t="s">
        <v>12</v>
      </c>
      <c r="C300" s="2">
        <v>45.2</v>
      </c>
      <c r="D300" s="2">
        <v>13.8</v>
      </c>
      <c r="E300" s="2">
        <v>215.0</v>
      </c>
      <c r="F300" s="2">
        <v>4750.0</v>
      </c>
      <c r="G300" s="2" t="s">
        <v>10</v>
      </c>
    </row>
    <row r="301" ht="15.75" customHeight="1">
      <c r="A301" s="1" t="s">
        <v>15</v>
      </c>
      <c r="B301" s="2" t="s">
        <v>12</v>
      </c>
      <c r="C301" s="2">
        <v>45.2</v>
      </c>
      <c r="D301" s="2">
        <v>16.4</v>
      </c>
      <c r="E301" s="2">
        <v>223.0</v>
      </c>
      <c r="F301" s="2">
        <v>5950.0</v>
      </c>
      <c r="G301" s="2" t="s">
        <v>9</v>
      </c>
    </row>
    <row r="302" ht="15.75" customHeight="1">
      <c r="A302" s="1" t="s">
        <v>15</v>
      </c>
      <c r="B302" s="2" t="s">
        <v>12</v>
      </c>
      <c r="C302" s="2">
        <v>49.1</v>
      </c>
      <c r="D302" s="2">
        <v>14.5</v>
      </c>
      <c r="E302" s="2">
        <v>212.0</v>
      </c>
      <c r="F302" s="2">
        <v>4625.0</v>
      </c>
      <c r="G302" s="2" t="s">
        <v>10</v>
      </c>
    </row>
    <row r="303" ht="15.75" customHeight="1">
      <c r="A303" s="1" t="s">
        <v>15</v>
      </c>
      <c r="B303" s="2" t="s">
        <v>12</v>
      </c>
      <c r="C303" s="2">
        <v>52.5</v>
      </c>
      <c r="D303" s="2">
        <v>15.6</v>
      </c>
      <c r="E303" s="2">
        <v>221.0</v>
      </c>
      <c r="F303" s="2">
        <v>5450.0</v>
      </c>
      <c r="G303" s="2" t="s">
        <v>9</v>
      </c>
    </row>
    <row r="304" ht="15.75" customHeight="1">
      <c r="A304" s="1" t="s">
        <v>15</v>
      </c>
      <c r="B304" s="2" t="s">
        <v>12</v>
      </c>
      <c r="C304" s="2">
        <v>47.4</v>
      </c>
      <c r="D304" s="2">
        <v>14.6</v>
      </c>
      <c r="E304" s="2">
        <v>212.0</v>
      </c>
      <c r="F304" s="2">
        <v>4725.0</v>
      </c>
      <c r="G304" s="2" t="s">
        <v>10</v>
      </c>
    </row>
    <row r="305" ht="15.75" customHeight="1">
      <c r="A305" s="1" t="s">
        <v>15</v>
      </c>
      <c r="B305" s="2" t="s">
        <v>12</v>
      </c>
      <c r="C305" s="2">
        <v>50.0</v>
      </c>
      <c r="D305" s="2">
        <v>15.9</v>
      </c>
      <c r="E305" s="2">
        <v>224.0</v>
      </c>
      <c r="F305" s="2">
        <v>5350.0</v>
      </c>
      <c r="G305" s="2" t="s">
        <v>9</v>
      </c>
    </row>
    <row r="306" ht="15.75" customHeight="1">
      <c r="A306" s="1" t="s">
        <v>15</v>
      </c>
      <c r="B306" s="2" t="s">
        <v>12</v>
      </c>
      <c r="C306" s="2">
        <v>44.9</v>
      </c>
      <c r="D306" s="2">
        <v>13.8</v>
      </c>
      <c r="E306" s="2">
        <v>212.0</v>
      </c>
      <c r="F306" s="2">
        <v>4750.0</v>
      </c>
      <c r="G306" s="2" t="s">
        <v>10</v>
      </c>
    </row>
    <row r="307" ht="15.75" customHeight="1">
      <c r="A307" s="1" t="s">
        <v>15</v>
      </c>
      <c r="B307" s="2" t="s">
        <v>12</v>
      </c>
      <c r="C307" s="2">
        <v>50.8</v>
      </c>
      <c r="D307" s="2">
        <v>17.3</v>
      </c>
      <c r="E307" s="2">
        <v>228.0</v>
      </c>
      <c r="F307" s="2">
        <v>5600.0</v>
      </c>
      <c r="G307" s="2" t="s">
        <v>9</v>
      </c>
    </row>
    <row r="308" ht="15.75" customHeight="1">
      <c r="A308" s="1" t="s">
        <v>15</v>
      </c>
      <c r="B308" s="2" t="s">
        <v>12</v>
      </c>
      <c r="C308" s="2">
        <v>43.4</v>
      </c>
      <c r="D308" s="2">
        <v>14.4</v>
      </c>
      <c r="E308" s="2">
        <v>218.0</v>
      </c>
      <c r="F308" s="2">
        <v>4600.0</v>
      </c>
      <c r="G308" s="2" t="s">
        <v>10</v>
      </c>
    </row>
    <row r="309" ht="15.75" customHeight="1">
      <c r="A309" s="1" t="s">
        <v>15</v>
      </c>
      <c r="B309" s="2" t="s">
        <v>12</v>
      </c>
      <c r="C309" s="2">
        <v>51.3</v>
      </c>
      <c r="D309" s="2">
        <v>14.2</v>
      </c>
      <c r="E309" s="2">
        <v>218.0</v>
      </c>
      <c r="F309" s="2">
        <v>5300.0</v>
      </c>
      <c r="G309" s="2" t="s">
        <v>9</v>
      </c>
    </row>
    <row r="310" ht="15.75" customHeight="1">
      <c r="A310" s="1" t="s">
        <v>15</v>
      </c>
      <c r="B310" s="2" t="s">
        <v>12</v>
      </c>
      <c r="C310" s="2">
        <v>47.5</v>
      </c>
      <c r="D310" s="2">
        <v>14.0</v>
      </c>
      <c r="E310" s="2">
        <v>212.0</v>
      </c>
      <c r="F310" s="2">
        <v>4875.0</v>
      </c>
      <c r="G310" s="2" t="s">
        <v>10</v>
      </c>
    </row>
    <row r="311" ht="15.75" customHeight="1">
      <c r="A311" s="1" t="s">
        <v>15</v>
      </c>
      <c r="B311" s="2" t="s">
        <v>12</v>
      </c>
      <c r="C311" s="2">
        <v>52.1</v>
      </c>
      <c r="D311" s="2">
        <v>17.0</v>
      </c>
      <c r="E311" s="2">
        <v>230.0</v>
      </c>
      <c r="F311" s="2">
        <v>5550.0</v>
      </c>
      <c r="G311" s="2" t="s">
        <v>9</v>
      </c>
    </row>
    <row r="312" ht="15.75" customHeight="1">
      <c r="A312" s="1" t="s">
        <v>15</v>
      </c>
      <c r="B312" s="2" t="s">
        <v>12</v>
      </c>
      <c r="C312" s="2">
        <v>47.5</v>
      </c>
      <c r="D312" s="2">
        <v>15.0</v>
      </c>
      <c r="E312" s="2">
        <v>218.0</v>
      </c>
      <c r="F312" s="2">
        <v>4950.0</v>
      </c>
      <c r="G312" s="2" t="s">
        <v>10</v>
      </c>
    </row>
    <row r="313" ht="15.75" customHeight="1">
      <c r="A313" s="1" t="s">
        <v>15</v>
      </c>
      <c r="B313" s="2" t="s">
        <v>12</v>
      </c>
      <c r="C313" s="2">
        <v>52.2</v>
      </c>
      <c r="D313" s="2">
        <v>17.1</v>
      </c>
      <c r="E313" s="2">
        <v>228.0</v>
      </c>
      <c r="F313" s="2">
        <v>5400.0</v>
      </c>
      <c r="G313" s="2" t="s">
        <v>9</v>
      </c>
    </row>
    <row r="314" ht="15.75" customHeight="1">
      <c r="A314" s="1" t="s">
        <v>15</v>
      </c>
      <c r="B314" s="2" t="s">
        <v>12</v>
      </c>
      <c r="C314" s="2">
        <v>45.5</v>
      </c>
      <c r="D314" s="2">
        <v>14.5</v>
      </c>
      <c r="E314" s="2">
        <v>212.0</v>
      </c>
      <c r="F314" s="2">
        <v>4750.0</v>
      </c>
      <c r="G314" s="2" t="s">
        <v>10</v>
      </c>
    </row>
    <row r="315" ht="15.75" customHeight="1">
      <c r="A315" s="1" t="s">
        <v>15</v>
      </c>
      <c r="B315" s="2" t="s">
        <v>12</v>
      </c>
      <c r="C315" s="2">
        <v>49.5</v>
      </c>
      <c r="D315" s="2">
        <v>16.1</v>
      </c>
      <c r="E315" s="2">
        <v>224.0</v>
      </c>
      <c r="F315" s="2">
        <v>5650.0</v>
      </c>
      <c r="G315" s="2" t="s">
        <v>9</v>
      </c>
    </row>
    <row r="316" ht="15.75" customHeight="1">
      <c r="A316" s="1" t="s">
        <v>15</v>
      </c>
      <c r="B316" s="2" t="s">
        <v>12</v>
      </c>
      <c r="C316" s="2">
        <v>44.5</v>
      </c>
      <c r="D316" s="2">
        <v>14.7</v>
      </c>
      <c r="E316" s="2">
        <v>214.0</v>
      </c>
      <c r="F316" s="2">
        <v>4850.0</v>
      </c>
      <c r="G316" s="2" t="s">
        <v>10</v>
      </c>
    </row>
    <row r="317" ht="15.75" customHeight="1">
      <c r="A317" s="1" t="s">
        <v>15</v>
      </c>
      <c r="B317" s="2" t="s">
        <v>12</v>
      </c>
      <c r="C317" s="2">
        <v>50.8</v>
      </c>
      <c r="D317" s="2">
        <v>15.7</v>
      </c>
      <c r="E317" s="2">
        <v>226.0</v>
      </c>
      <c r="F317" s="2">
        <v>5200.0</v>
      </c>
      <c r="G317" s="2" t="s">
        <v>9</v>
      </c>
    </row>
    <row r="318" ht="15.75" customHeight="1">
      <c r="A318" s="1" t="s">
        <v>15</v>
      </c>
      <c r="B318" s="2" t="s">
        <v>12</v>
      </c>
      <c r="C318" s="2">
        <v>49.4</v>
      </c>
      <c r="D318" s="2">
        <v>15.8</v>
      </c>
      <c r="E318" s="2">
        <v>216.0</v>
      </c>
      <c r="F318" s="2">
        <v>4925.0</v>
      </c>
      <c r="G318" s="2" t="s">
        <v>9</v>
      </c>
    </row>
    <row r="319" ht="15.75" customHeight="1">
      <c r="A319" s="1" t="s">
        <v>15</v>
      </c>
      <c r="B319" s="2" t="s">
        <v>12</v>
      </c>
      <c r="C319" s="2">
        <v>46.9</v>
      </c>
      <c r="D319" s="2">
        <v>14.6</v>
      </c>
      <c r="E319" s="2">
        <v>222.0</v>
      </c>
      <c r="F319" s="2">
        <v>4875.0</v>
      </c>
      <c r="G319" s="2" t="s">
        <v>10</v>
      </c>
    </row>
    <row r="320" ht="15.75" customHeight="1">
      <c r="A320" s="1" t="s">
        <v>15</v>
      </c>
      <c r="B320" s="2" t="s">
        <v>12</v>
      </c>
      <c r="C320" s="2">
        <v>48.4</v>
      </c>
      <c r="D320" s="2">
        <v>14.4</v>
      </c>
      <c r="E320" s="2">
        <v>203.0</v>
      </c>
      <c r="F320" s="2">
        <v>4625.0</v>
      </c>
      <c r="G320" s="2" t="s">
        <v>10</v>
      </c>
    </row>
    <row r="321" ht="15.75" customHeight="1">
      <c r="A321" s="1" t="s">
        <v>15</v>
      </c>
      <c r="B321" s="2" t="s">
        <v>12</v>
      </c>
      <c r="C321" s="2">
        <v>51.1</v>
      </c>
      <c r="D321" s="2">
        <v>16.5</v>
      </c>
      <c r="E321" s="2">
        <v>225.0</v>
      </c>
      <c r="F321" s="2">
        <v>5250.0</v>
      </c>
      <c r="G321" s="2" t="s">
        <v>9</v>
      </c>
    </row>
    <row r="322" ht="15.75" customHeight="1">
      <c r="A322" s="1" t="s">
        <v>15</v>
      </c>
      <c r="B322" s="2" t="s">
        <v>12</v>
      </c>
      <c r="C322" s="2">
        <v>48.5</v>
      </c>
      <c r="D322" s="2">
        <v>15.0</v>
      </c>
      <c r="E322" s="2">
        <v>219.0</v>
      </c>
      <c r="F322" s="2">
        <v>4850.0</v>
      </c>
      <c r="G322" s="2" t="s">
        <v>10</v>
      </c>
    </row>
    <row r="323" ht="15.75" customHeight="1">
      <c r="A323" s="1" t="s">
        <v>15</v>
      </c>
      <c r="B323" s="2" t="s">
        <v>12</v>
      </c>
      <c r="C323" s="2">
        <v>55.9</v>
      </c>
      <c r="D323" s="2">
        <v>17.0</v>
      </c>
      <c r="E323" s="2">
        <v>228.0</v>
      </c>
      <c r="F323" s="2">
        <v>5600.0</v>
      </c>
      <c r="G323" s="2" t="s">
        <v>9</v>
      </c>
    </row>
    <row r="324" ht="15.75" customHeight="1">
      <c r="A324" s="1" t="s">
        <v>15</v>
      </c>
      <c r="B324" s="2" t="s">
        <v>12</v>
      </c>
      <c r="C324" s="2">
        <v>47.2</v>
      </c>
      <c r="D324" s="2">
        <v>15.5</v>
      </c>
      <c r="E324" s="2">
        <v>215.0</v>
      </c>
      <c r="F324" s="2">
        <v>4975.0</v>
      </c>
      <c r="G324" s="2" t="s">
        <v>10</v>
      </c>
    </row>
    <row r="325" ht="15.75" customHeight="1">
      <c r="A325" s="1" t="s">
        <v>15</v>
      </c>
      <c r="B325" s="2" t="s">
        <v>12</v>
      </c>
      <c r="C325" s="2">
        <v>49.1</v>
      </c>
      <c r="D325" s="2">
        <v>15.0</v>
      </c>
      <c r="E325" s="2">
        <v>228.0</v>
      </c>
      <c r="F325" s="2">
        <v>5500.0</v>
      </c>
      <c r="G325" s="2" t="s">
        <v>9</v>
      </c>
    </row>
    <row r="326" ht="15.75" customHeight="1">
      <c r="A326" s="1" t="s">
        <v>15</v>
      </c>
      <c r="B326" s="2" t="s">
        <v>12</v>
      </c>
      <c r="C326" s="2">
        <v>47.3</v>
      </c>
      <c r="D326" s="2">
        <v>13.8</v>
      </c>
      <c r="E326" s="2">
        <v>216.0</v>
      </c>
      <c r="F326" s="2">
        <v>4725.0</v>
      </c>
      <c r="G326" s="2" t="s">
        <v>11</v>
      </c>
    </row>
    <row r="327" ht="15.75" customHeight="1">
      <c r="A327" s="1" t="s">
        <v>15</v>
      </c>
      <c r="B327" s="2" t="s">
        <v>12</v>
      </c>
      <c r="C327" s="2">
        <v>46.8</v>
      </c>
      <c r="D327" s="2">
        <v>16.1</v>
      </c>
      <c r="E327" s="2">
        <v>215.0</v>
      </c>
      <c r="F327" s="2">
        <v>5500.0</v>
      </c>
      <c r="G327" s="2" t="s">
        <v>9</v>
      </c>
    </row>
    <row r="328" ht="15.75" customHeight="1">
      <c r="A328" s="1" t="s">
        <v>15</v>
      </c>
      <c r="B328" s="2" t="s">
        <v>12</v>
      </c>
      <c r="C328" s="2">
        <v>41.7</v>
      </c>
      <c r="D328" s="2">
        <v>14.7</v>
      </c>
      <c r="E328" s="2">
        <v>210.0</v>
      </c>
      <c r="F328" s="2">
        <v>4700.0</v>
      </c>
      <c r="G328" s="2" t="s">
        <v>10</v>
      </c>
    </row>
    <row r="329" ht="15.75" customHeight="1">
      <c r="A329" s="1" t="s">
        <v>15</v>
      </c>
      <c r="B329" s="2" t="s">
        <v>12</v>
      </c>
      <c r="C329" s="2">
        <v>53.4</v>
      </c>
      <c r="D329" s="2">
        <v>15.8</v>
      </c>
      <c r="E329" s="2">
        <v>219.0</v>
      </c>
      <c r="F329" s="2">
        <v>5500.0</v>
      </c>
      <c r="G329" s="2" t="s">
        <v>9</v>
      </c>
    </row>
    <row r="330" ht="15.75" customHeight="1">
      <c r="A330" s="1" t="s">
        <v>15</v>
      </c>
      <c r="B330" s="2" t="s">
        <v>12</v>
      </c>
      <c r="C330" s="2">
        <v>43.3</v>
      </c>
      <c r="D330" s="2">
        <v>14.0</v>
      </c>
      <c r="E330" s="2">
        <v>208.0</v>
      </c>
      <c r="F330" s="2">
        <v>4575.0</v>
      </c>
      <c r="G330" s="2" t="s">
        <v>10</v>
      </c>
    </row>
    <row r="331" ht="15.75" customHeight="1">
      <c r="A331" s="1" t="s">
        <v>15</v>
      </c>
      <c r="B331" s="2" t="s">
        <v>12</v>
      </c>
      <c r="C331" s="2">
        <v>48.1</v>
      </c>
      <c r="D331" s="2">
        <v>15.1</v>
      </c>
      <c r="E331" s="2">
        <v>209.0</v>
      </c>
      <c r="F331" s="2">
        <v>5500.0</v>
      </c>
      <c r="G331" s="2" t="s">
        <v>9</v>
      </c>
    </row>
    <row r="332" ht="15.75" customHeight="1">
      <c r="A332" s="1" t="s">
        <v>15</v>
      </c>
      <c r="B332" s="2" t="s">
        <v>12</v>
      </c>
      <c r="C332" s="2">
        <v>50.5</v>
      </c>
      <c r="D332" s="2">
        <v>15.2</v>
      </c>
      <c r="E332" s="2">
        <v>216.0</v>
      </c>
      <c r="F332" s="2">
        <v>5000.0</v>
      </c>
      <c r="G332" s="2" t="s">
        <v>10</v>
      </c>
    </row>
    <row r="333" ht="15.75" customHeight="1">
      <c r="A333" s="1" t="s">
        <v>15</v>
      </c>
      <c r="B333" s="2" t="s">
        <v>12</v>
      </c>
      <c r="C333" s="2">
        <v>49.8</v>
      </c>
      <c r="D333" s="2">
        <v>15.9</v>
      </c>
      <c r="E333" s="2">
        <v>229.0</v>
      </c>
      <c r="F333" s="2">
        <v>5950.0</v>
      </c>
      <c r="G333" s="2" t="s">
        <v>9</v>
      </c>
    </row>
    <row r="334" ht="15.75" customHeight="1">
      <c r="A334" s="1" t="s">
        <v>15</v>
      </c>
      <c r="B334" s="2" t="s">
        <v>12</v>
      </c>
      <c r="C334" s="2">
        <v>43.5</v>
      </c>
      <c r="D334" s="2">
        <v>15.2</v>
      </c>
      <c r="E334" s="2">
        <v>213.0</v>
      </c>
      <c r="F334" s="2">
        <v>4650.0</v>
      </c>
      <c r="G334" s="2" t="s">
        <v>10</v>
      </c>
    </row>
    <row r="335" ht="15.75" customHeight="1">
      <c r="A335" s="1" t="s">
        <v>15</v>
      </c>
      <c r="B335" s="2" t="s">
        <v>12</v>
      </c>
      <c r="C335" s="2">
        <v>51.5</v>
      </c>
      <c r="D335" s="2">
        <v>16.3</v>
      </c>
      <c r="E335" s="2">
        <v>230.0</v>
      </c>
      <c r="F335" s="2">
        <v>5500.0</v>
      </c>
      <c r="G335" s="2" t="s">
        <v>9</v>
      </c>
    </row>
    <row r="336" ht="15.75" customHeight="1">
      <c r="A336" s="1" t="s">
        <v>15</v>
      </c>
      <c r="B336" s="2" t="s">
        <v>12</v>
      </c>
      <c r="C336" s="2">
        <v>46.2</v>
      </c>
      <c r="D336" s="2">
        <v>14.1</v>
      </c>
      <c r="E336" s="2">
        <v>217.0</v>
      </c>
      <c r="F336" s="2">
        <v>4375.0</v>
      </c>
      <c r="G336" s="2" t="s">
        <v>10</v>
      </c>
    </row>
    <row r="337" ht="15.75" customHeight="1">
      <c r="A337" s="1" t="s">
        <v>15</v>
      </c>
      <c r="B337" s="2" t="s">
        <v>12</v>
      </c>
      <c r="C337" s="2">
        <v>55.1</v>
      </c>
      <c r="D337" s="2">
        <v>16.0</v>
      </c>
      <c r="E337" s="2">
        <v>230.0</v>
      </c>
      <c r="F337" s="2">
        <v>5850.0</v>
      </c>
      <c r="G337" s="2" t="s">
        <v>9</v>
      </c>
    </row>
    <row r="338" ht="15.75" customHeight="1">
      <c r="A338" s="1" t="s">
        <v>15</v>
      </c>
      <c r="B338" s="2" t="s">
        <v>12</v>
      </c>
      <c r="C338" s="2">
        <v>44.5</v>
      </c>
      <c r="D338" s="2">
        <v>15.7</v>
      </c>
      <c r="E338" s="2">
        <v>217.0</v>
      </c>
      <c r="F338" s="2">
        <v>4875.0</v>
      </c>
      <c r="G338" s="2" t="s">
        <v>16</v>
      </c>
    </row>
    <row r="339" ht="15.75" customHeight="1">
      <c r="A339" s="1" t="s">
        <v>15</v>
      </c>
      <c r="B339" s="2" t="s">
        <v>12</v>
      </c>
      <c r="C339" s="2">
        <v>48.8</v>
      </c>
      <c r="D339" s="2">
        <v>16.2</v>
      </c>
      <c r="E339" s="2">
        <v>222.0</v>
      </c>
      <c r="F339" s="2">
        <v>6000.0</v>
      </c>
      <c r="G339" s="2" t="s">
        <v>9</v>
      </c>
    </row>
    <row r="340" ht="15.75" customHeight="1">
      <c r="A340" s="1" t="s">
        <v>15</v>
      </c>
      <c r="B340" s="2" t="s">
        <v>12</v>
      </c>
      <c r="C340" s="2">
        <v>47.2</v>
      </c>
      <c r="D340" s="2">
        <v>13.7</v>
      </c>
      <c r="E340" s="2">
        <v>214.0</v>
      </c>
      <c r="F340" s="2">
        <v>4925.0</v>
      </c>
      <c r="G340" s="2" t="s">
        <v>10</v>
      </c>
    </row>
    <row r="341" ht="15.75" customHeight="1">
      <c r="A341" s="1" t="s">
        <v>15</v>
      </c>
      <c r="B341" s="2" t="s">
        <v>12</v>
      </c>
      <c r="C341" s="2" t="s">
        <v>11</v>
      </c>
      <c r="D341" s="2" t="s">
        <v>11</v>
      </c>
      <c r="E341" s="2" t="s">
        <v>11</v>
      </c>
      <c r="F341" s="2" t="s">
        <v>11</v>
      </c>
      <c r="G341" s="2" t="s">
        <v>11</v>
      </c>
    </row>
    <row r="342" ht="15.75" customHeight="1">
      <c r="A342" s="1" t="s">
        <v>15</v>
      </c>
      <c r="B342" s="2" t="s">
        <v>12</v>
      </c>
      <c r="C342" s="2">
        <v>46.8</v>
      </c>
      <c r="D342" s="2">
        <v>14.3</v>
      </c>
      <c r="E342" s="2">
        <v>215.0</v>
      </c>
      <c r="F342" s="2">
        <v>4850.0</v>
      </c>
      <c r="G342" s="2" t="s">
        <v>10</v>
      </c>
    </row>
    <row r="343" ht="15.75" customHeight="1">
      <c r="A343" s="1" t="s">
        <v>15</v>
      </c>
      <c r="B343" s="2" t="s">
        <v>12</v>
      </c>
      <c r="C343" s="2">
        <v>50.4</v>
      </c>
      <c r="D343" s="2">
        <v>15.7</v>
      </c>
      <c r="E343" s="2">
        <v>222.0</v>
      </c>
      <c r="F343" s="2">
        <v>5750.0</v>
      </c>
      <c r="G343" s="2" t="s">
        <v>9</v>
      </c>
    </row>
    <row r="344" ht="15.75" customHeight="1">
      <c r="A344" s="1" t="s">
        <v>15</v>
      </c>
      <c r="B344" s="2" t="s">
        <v>12</v>
      </c>
      <c r="C344" s="2">
        <v>45.2</v>
      </c>
      <c r="D344" s="2">
        <v>14.8</v>
      </c>
      <c r="E344" s="2">
        <v>212.0</v>
      </c>
      <c r="F344" s="2">
        <v>5200.0</v>
      </c>
      <c r="G344" s="2" t="s">
        <v>10</v>
      </c>
    </row>
    <row r="345" ht="15.75" customHeight="1">
      <c r="A345" s="1" t="s">
        <v>15</v>
      </c>
      <c r="B345" s="2" t="s">
        <v>12</v>
      </c>
      <c r="C345" s="2">
        <v>49.9</v>
      </c>
      <c r="D345" s="2">
        <v>16.1</v>
      </c>
      <c r="E345" s="2">
        <v>213.0</v>
      </c>
      <c r="F345" s="2">
        <v>5400.0</v>
      </c>
      <c r="G345" s="2" t="s">
        <v>9</v>
      </c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22.43"/>
    <col customWidth="1" min="3" max="3" width="10.57"/>
    <col customWidth="1" min="4" max="8" width="18.43"/>
  </cols>
  <sheetData>
    <row r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17</v>
      </c>
    </row>
    <row r="2">
      <c r="A2" s="2" t="s">
        <v>18</v>
      </c>
      <c r="D2" s="2">
        <f>COUNT(Task2A!C:C)</f>
        <v>342</v>
      </c>
      <c r="E2" s="2">
        <f>COUNT(Task2A!D:D)</f>
        <v>342</v>
      </c>
      <c r="F2" s="2">
        <f>COUNT(Task2A!E:E)</f>
        <v>342</v>
      </c>
      <c r="G2" s="2">
        <f>COUNT(Task2A!F:F)</f>
        <v>342</v>
      </c>
    </row>
    <row r="3">
      <c r="A3" s="2" t="s">
        <v>19</v>
      </c>
      <c r="C3" s="2">
        <f>COUNTA(Task2A!B:B)</f>
        <v>345</v>
      </c>
      <c r="D3" s="2">
        <f>COUNTA(Task2A!C:C)</f>
        <v>345</v>
      </c>
      <c r="E3" s="2">
        <f>COUNTA(Task2A!D:D)</f>
        <v>345</v>
      </c>
      <c r="F3" s="2">
        <f>COUNTA(Task2A!E:E)</f>
        <v>345</v>
      </c>
      <c r="G3" s="2">
        <f>COUNTA(Task2A!F:F)</f>
        <v>345</v>
      </c>
      <c r="H3" s="2">
        <f>COUNTA(Task2A!G:G)</f>
        <v>345</v>
      </c>
    </row>
    <row r="4">
      <c r="A4" s="2" t="s">
        <v>20</v>
      </c>
      <c r="C4" s="2">
        <f>COUNTIF(Task2A!B:B, "NA")</f>
        <v>0</v>
      </c>
      <c r="D4" s="2">
        <f>COUNTIF(Task2A!C:C, "NA")</f>
        <v>2</v>
      </c>
      <c r="E4" s="2">
        <f>COUNTIF(Task2A!D:D, "NA")</f>
        <v>2</v>
      </c>
      <c r="F4" s="2">
        <f>COUNTIF(Task2A!E:E, "NA")</f>
        <v>2</v>
      </c>
      <c r="G4" s="2">
        <f>COUNTIF(Task2A!F:F, "NA")</f>
        <v>2</v>
      </c>
      <c r="H4" s="2">
        <f>COUNTIF(Task2A!G:G, "NA")</f>
        <v>10</v>
      </c>
    </row>
    <row r="5">
      <c r="A5" s="2" t="s">
        <v>21</v>
      </c>
      <c r="D5" s="3">
        <f>AVERAGE(Task2A!C:C)</f>
        <v>43.92192982</v>
      </c>
      <c r="E5" s="3">
        <f>AVERAGE(Task2A!D:D)</f>
        <v>17.15116959</v>
      </c>
      <c r="F5" s="3">
        <f>AVERAGE(Task2A!E:E)</f>
        <v>200.9152047</v>
      </c>
      <c r="G5" s="3">
        <f>AVERAGE(Task2A!F:F)</f>
        <v>4201.754386</v>
      </c>
    </row>
    <row r="6">
      <c r="A6" s="2" t="s">
        <v>22</v>
      </c>
      <c r="D6" s="3">
        <f>STDEV(Task2A!C:C)</f>
        <v>5.459583714</v>
      </c>
      <c r="E6" s="3">
        <f>STDEV(Task2A!D:D)</f>
        <v>1.974793157</v>
      </c>
      <c r="F6" s="3">
        <f>STDEV(Task2A!E:E)</f>
        <v>14.06171368</v>
      </c>
      <c r="G6" s="3">
        <f>STDEV(Task2A!F:F)</f>
        <v>801.9545357</v>
      </c>
    </row>
    <row r="7">
      <c r="A7" s="2" t="s">
        <v>23</v>
      </c>
      <c r="D7" s="3">
        <f>VAR(Task2A!C:C)</f>
        <v>29.80705433</v>
      </c>
      <c r="E7" s="3">
        <f>VAR(Task2A!D:D)</f>
        <v>3.899808012</v>
      </c>
      <c r="F7" s="3">
        <f>VAR(Task2A!E:E)</f>
        <v>197.7317916</v>
      </c>
      <c r="G7" s="3">
        <f>VAR(Task2A!F:F)</f>
        <v>643131.0773</v>
      </c>
    </row>
    <row r="8">
      <c r="A8" s="2" t="s">
        <v>24</v>
      </c>
      <c r="D8" s="3">
        <f>MIN(Task2A!C:C)</f>
        <v>32.1</v>
      </c>
      <c r="E8" s="3">
        <f>MIN(Task2A!D:D)</f>
        <v>13.1</v>
      </c>
      <c r="F8" s="3">
        <f>MIN(Task2A!E:E)</f>
        <v>172</v>
      </c>
      <c r="G8" s="3">
        <f>MIN(Task2A!F:F)</f>
        <v>2700</v>
      </c>
    </row>
    <row r="9">
      <c r="A9" s="2" t="s">
        <v>25</v>
      </c>
      <c r="D9" s="3">
        <f>MAX(Task2A!C:C)</f>
        <v>59.6</v>
      </c>
      <c r="E9" s="3">
        <f>MAX(Task2A!D:D)</f>
        <v>21.5</v>
      </c>
      <c r="F9" s="3">
        <f>MAX(Task2A!E:E)</f>
        <v>231</v>
      </c>
      <c r="G9" s="3">
        <f>MAX(Task2A!F:F)</f>
        <v>6300</v>
      </c>
    </row>
    <row r="10">
      <c r="A10" s="2" t="s">
        <v>26</v>
      </c>
      <c r="C10" s="2" t="s">
        <v>27</v>
      </c>
      <c r="D10" s="2" t="s">
        <v>28</v>
      </c>
      <c r="E10" s="2" t="s">
        <v>28</v>
      </c>
      <c r="F10" s="2" t="s">
        <v>28</v>
      </c>
      <c r="G10" s="2" t="s">
        <v>28</v>
      </c>
      <c r="H10" s="2" t="s">
        <v>27</v>
      </c>
    </row>
    <row r="11">
      <c r="A11" s="2" t="s">
        <v>29</v>
      </c>
      <c r="C11" s="2" t="s">
        <v>30</v>
      </c>
      <c r="D11" s="2" t="s">
        <v>31</v>
      </c>
      <c r="E11" s="2" t="s">
        <v>31</v>
      </c>
      <c r="F11" s="2" t="s">
        <v>31</v>
      </c>
      <c r="G11" s="2" t="s">
        <v>31</v>
      </c>
      <c r="H11" s="2" t="s">
        <v>31</v>
      </c>
    </row>
    <row r="12">
      <c r="A12" s="2" t="s">
        <v>32</v>
      </c>
      <c r="C12" s="2" t="s">
        <v>33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33</v>
      </c>
    </row>
    <row r="13">
      <c r="A13" s="2" t="s">
        <v>35</v>
      </c>
      <c r="C13" s="2" t="s">
        <v>36</v>
      </c>
      <c r="D13" s="2">
        <f>_xlfn.MODE.SNGL(Task2A!C:C)</f>
        <v>41.1</v>
      </c>
      <c r="E13" s="2">
        <f>_xlfn.MODE.SNGL(Task2A!D:D)</f>
        <v>17</v>
      </c>
      <c r="F13" s="2">
        <f>_xlfn.MODE.SNGL(Task2A!E:E)</f>
        <v>190</v>
      </c>
      <c r="G13" s="2">
        <f>_xlfn.MODE.SNGL(Task2A!F:F)</f>
        <v>3800</v>
      </c>
      <c r="H13" s="2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15.29"/>
    <col customWidth="1" min="3" max="3" width="8.71"/>
    <col customWidth="1" min="4" max="4" width="14.43"/>
    <col customWidth="1" min="5" max="5" width="21.43"/>
    <col customWidth="1" min="6" max="6" width="21.0"/>
    <col customWidth="1" min="7" max="7" width="20.71"/>
    <col customWidth="1" min="8" max="8" width="15.86"/>
    <col customWidth="1" min="9" max="9" width="8.71"/>
    <col customWidth="1" min="10" max="10" width="11.29"/>
  </cols>
  <sheetData>
    <row r="1">
      <c r="A1" s="1" t="s">
        <v>0</v>
      </c>
      <c r="B1" s="4" t="s">
        <v>37</v>
      </c>
      <c r="C1" s="2" t="s">
        <v>1</v>
      </c>
      <c r="D1" s="5" t="s">
        <v>38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5" t="s">
        <v>17</v>
      </c>
    </row>
    <row r="2">
      <c r="A2" s="1" t="s">
        <v>7</v>
      </c>
      <c r="B2" s="1">
        <f t="shared" ref="B2:B334" si="1">IFS(A2="Adelie",1,A2="Chinstrap",2,A2="Gentoo",3)</f>
        <v>1</v>
      </c>
      <c r="C2" s="2" t="s">
        <v>8</v>
      </c>
      <c r="D2" s="2">
        <f t="shared" ref="D2:D334" si="2">IFS(C2="Torgersen",1,C2="Biscoe",2,C2="Dream",3)</f>
        <v>1</v>
      </c>
      <c r="E2" s="2">
        <v>39.1</v>
      </c>
      <c r="F2" s="2">
        <v>18.7</v>
      </c>
      <c r="G2" s="2">
        <v>181.0</v>
      </c>
      <c r="H2" s="2">
        <v>3750.0</v>
      </c>
      <c r="I2" s="2" t="s">
        <v>9</v>
      </c>
      <c r="J2" s="2">
        <f t="shared" ref="J2:J334" si="3">IF(I2="MALE",1,0)</f>
        <v>1</v>
      </c>
    </row>
    <row r="3">
      <c r="A3" s="1" t="s">
        <v>7</v>
      </c>
      <c r="B3" s="1">
        <f t="shared" si="1"/>
        <v>1</v>
      </c>
      <c r="C3" s="2" t="s">
        <v>8</v>
      </c>
      <c r="D3" s="2">
        <f t="shared" si="2"/>
        <v>1</v>
      </c>
      <c r="E3" s="2">
        <v>39.5</v>
      </c>
      <c r="F3" s="2">
        <v>17.4</v>
      </c>
      <c r="G3" s="2">
        <v>186.0</v>
      </c>
      <c r="H3" s="2">
        <v>3800.0</v>
      </c>
      <c r="I3" s="2" t="s">
        <v>10</v>
      </c>
      <c r="J3" s="2">
        <f t="shared" si="3"/>
        <v>0</v>
      </c>
    </row>
    <row r="4">
      <c r="A4" s="1" t="s">
        <v>7</v>
      </c>
      <c r="B4" s="1">
        <f t="shared" si="1"/>
        <v>1</v>
      </c>
      <c r="C4" s="2" t="s">
        <v>8</v>
      </c>
      <c r="D4" s="2">
        <f t="shared" si="2"/>
        <v>1</v>
      </c>
      <c r="E4" s="2">
        <v>40.3</v>
      </c>
      <c r="F4" s="2">
        <v>18.0</v>
      </c>
      <c r="G4" s="2">
        <v>195.0</v>
      </c>
      <c r="H4" s="2">
        <v>3250.0</v>
      </c>
      <c r="I4" s="2" t="s">
        <v>10</v>
      </c>
      <c r="J4" s="2">
        <f t="shared" si="3"/>
        <v>0</v>
      </c>
    </row>
    <row r="5">
      <c r="A5" s="1" t="s">
        <v>7</v>
      </c>
      <c r="B5" s="1">
        <f t="shared" si="1"/>
        <v>1</v>
      </c>
      <c r="C5" s="2" t="s">
        <v>8</v>
      </c>
      <c r="D5" s="2">
        <f t="shared" si="2"/>
        <v>1</v>
      </c>
      <c r="E5" s="2">
        <v>36.7</v>
      </c>
      <c r="F5" s="2">
        <v>19.3</v>
      </c>
      <c r="G5" s="2">
        <v>193.0</v>
      </c>
      <c r="H5" s="2">
        <v>3450.0</v>
      </c>
      <c r="I5" s="2" t="s">
        <v>10</v>
      </c>
      <c r="J5" s="2">
        <f t="shared" si="3"/>
        <v>0</v>
      </c>
    </row>
    <row r="6">
      <c r="A6" s="1" t="s">
        <v>7</v>
      </c>
      <c r="B6" s="1">
        <f t="shared" si="1"/>
        <v>1</v>
      </c>
      <c r="C6" s="2" t="s">
        <v>8</v>
      </c>
      <c r="D6" s="2">
        <f t="shared" si="2"/>
        <v>1</v>
      </c>
      <c r="E6" s="2">
        <v>39.3</v>
      </c>
      <c r="F6" s="2">
        <v>20.6</v>
      </c>
      <c r="G6" s="2">
        <v>190.0</v>
      </c>
      <c r="H6" s="2">
        <v>3650.0</v>
      </c>
      <c r="I6" s="2" t="s">
        <v>9</v>
      </c>
      <c r="J6" s="2">
        <f t="shared" si="3"/>
        <v>1</v>
      </c>
    </row>
    <row r="7">
      <c r="A7" s="1" t="s">
        <v>7</v>
      </c>
      <c r="B7" s="1">
        <f t="shared" si="1"/>
        <v>1</v>
      </c>
      <c r="C7" s="2" t="s">
        <v>8</v>
      </c>
      <c r="D7" s="2">
        <f t="shared" si="2"/>
        <v>1</v>
      </c>
      <c r="E7" s="2">
        <v>38.9</v>
      </c>
      <c r="F7" s="2">
        <v>17.8</v>
      </c>
      <c r="G7" s="2">
        <v>181.0</v>
      </c>
      <c r="H7" s="2">
        <v>3625.0</v>
      </c>
      <c r="I7" s="2" t="s">
        <v>10</v>
      </c>
      <c r="J7" s="2">
        <f t="shared" si="3"/>
        <v>0</v>
      </c>
    </row>
    <row r="8">
      <c r="A8" s="1" t="s">
        <v>7</v>
      </c>
      <c r="B8" s="1">
        <f t="shared" si="1"/>
        <v>1</v>
      </c>
      <c r="C8" s="2" t="s">
        <v>8</v>
      </c>
      <c r="D8" s="2">
        <f t="shared" si="2"/>
        <v>1</v>
      </c>
      <c r="E8" s="2">
        <v>39.2</v>
      </c>
      <c r="F8" s="2">
        <v>19.6</v>
      </c>
      <c r="G8" s="2">
        <v>195.0</v>
      </c>
      <c r="H8" s="2">
        <v>4675.0</v>
      </c>
      <c r="I8" s="2" t="s">
        <v>9</v>
      </c>
      <c r="J8" s="2">
        <f t="shared" si="3"/>
        <v>1</v>
      </c>
    </row>
    <row r="9">
      <c r="A9" s="1" t="s">
        <v>7</v>
      </c>
      <c r="B9" s="1">
        <f t="shared" si="1"/>
        <v>1</v>
      </c>
      <c r="C9" s="2" t="s">
        <v>8</v>
      </c>
      <c r="D9" s="2">
        <f t="shared" si="2"/>
        <v>1</v>
      </c>
      <c r="E9" s="2">
        <v>41.1</v>
      </c>
      <c r="F9" s="2">
        <v>17.6</v>
      </c>
      <c r="G9" s="2">
        <v>182.0</v>
      </c>
      <c r="H9" s="2">
        <v>3200.0</v>
      </c>
      <c r="I9" s="2" t="s">
        <v>10</v>
      </c>
      <c r="J9" s="2">
        <f t="shared" si="3"/>
        <v>0</v>
      </c>
    </row>
    <row r="10">
      <c r="A10" s="1" t="s">
        <v>7</v>
      </c>
      <c r="B10" s="1">
        <f t="shared" si="1"/>
        <v>1</v>
      </c>
      <c r="C10" s="2" t="s">
        <v>8</v>
      </c>
      <c r="D10" s="2">
        <f t="shared" si="2"/>
        <v>1</v>
      </c>
      <c r="E10" s="2">
        <v>38.6</v>
      </c>
      <c r="F10" s="2">
        <v>21.2</v>
      </c>
      <c r="G10" s="2">
        <v>191.0</v>
      </c>
      <c r="H10" s="2">
        <v>3800.0</v>
      </c>
      <c r="I10" s="2" t="s">
        <v>9</v>
      </c>
      <c r="J10" s="2">
        <f t="shared" si="3"/>
        <v>1</v>
      </c>
    </row>
    <row r="11">
      <c r="A11" s="1" t="s">
        <v>7</v>
      </c>
      <c r="B11" s="1">
        <f t="shared" si="1"/>
        <v>1</v>
      </c>
      <c r="C11" s="2" t="s">
        <v>8</v>
      </c>
      <c r="D11" s="2">
        <f t="shared" si="2"/>
        <v>1</v>
      </c>
      <c r="E11" s="2">
        <v>34.6</v>
      </c>
      <c r="F11" s="2">
        <v>21.1</v>
      </c>
      <c r="G11" s="2">
        <v>198.0</v>
      </c>
      <c r="H11" s="2">
        <v>4400.0</v>
      </c>
      <c r="I11" s="2" t="s">
        <v>9</v>
      </c>
      <c r="J11" s="2">
        <f t="shared" si="3"/>
        <v>1</v>
      </c>
    </row>
    <row r="12">
      <c r="A12" s="1" t="s">
        <v>7</v>
      </c>
      <c r="B12" s="1">
        <f t="shared" si="1"/>
        <v>1</v>
      </c>
      <c r="C12" s="2" t="s">
        <v>8</v>
      </c>
      <c r="D12" s="2">
        <f t="shared" si="2"/>
        <v>1</v>
      </c>
      <c r="E12" s="2">
        <v>36.6</v>
      </c>
      <c r="F12" s="2">
        <v>17.8</v>
      </c>
      <c r="G12" s="2">
        <v>185.0</v>
      </c>
      <c r="H12" s="2">
        <v>3700.0</v>
      </c>
      <c r="I12" s="2" t="s">
        <v>10</v>
      </c>
      <c r="J12" s="2">
        <f t="shared" si="3"/>
        <v>0</v>
      </c>
    </row>
    <row r="13">
      <c r="A13" s="1" t="s">
        <v>7</v>
      </c>
      <c r="B13" s="1">
        <f t="shared" si="1"/>
        <v>1</v>
      </c>
      <c r="C13" s="2" t="s">
        <v>8</v>
      </c>
      <c r="D13" s="2">
        <f t="shared" si="2"/>
        <v>1</v>
      </c>
      <c r="E13" s="2">
        <v>38.7</v>
      </c>
      <c r="F13" s="2">
        <v>19.0</v>
      </c>
      <c r="G13" s="2">
        <v>195.0</v>
      </c>
      <c r="H13" s="2">
        <v>3450.0</v>
      </c>
      <c r="I13" s="2" t="s">
        <v>10</v>
      </c>
      <c r="J13" s="2">
        <f t="shared" si="3"/>
        <v>0</v>
      </c>
    </row>
    <row r="14">
      <c r="A14" s="1" t="s">
        <v>7</v>
      </c>
      <c r="B14" s="1">
        <f t="shared" si="1"/>
        <v>1</v>
      </c>
      <c r="C14" s="2" t="s">
        <v>8</v>
      </c>
      <c r="D14" s="2">
        <f t="shared" si="2"/>
        <v>1</v>
      </c>
      <c r="E14" s="2">
        <v>42.5</v>
      </c>
      <c r="F14" s="2">
        <v>20.7</v>
      </c>
      <c r="G14" s="2">
        <v>197.0</v>
      </c>
      <c r="H14" s="2">
        <v>4500.0</v>
      </c>
      <c r="I14" s="2" t="s">
        <v>9</v>
      </c>
      <c r="J14" s="2">
        <f t="shared" si="3"/>
        <v>1</v>
      </c>
    </row>
    <row r="15">
      <c r="A15" s="1" t="s">
        <v>7</v>
      </c>
      <c r="B15" s="1">
        <f t="shared" si="1"/>
        <v>1</v>
      </c>
      <c r="C15" s="2" t="s">
        <v>8</v>
      </c>
      <c r="D15" s="2">
        <f t="shared" si="2"/>
        <v>1</v>
      </c>
      <c r="E15" s="2">
        <v>34.4</v>
      </c>
      <c r="F15" s="2">
        <v>18.4</v>
      </c>
      <c r="G15" s="2">
        <v>184.0</v>
      </c>
      <c r="H15" s="2">
        <v>3325.0</v>
      </c>
      <c r="I15" s="2" t="s">
        <v>10</v>
      </c>
      <c r="J15" s="2">
        <f t="shared" si="3"/>
        <v>0</v>
      </c>
    </row>
    <row r="16" ht="15.75" customHeight="1">
      <c r="A16" s="1" t="s">
        <v>7</v>
      </c>
      <c r="B16" s="1">
        <f t="shared" si="1"/>
        <v>1</v>
      </c>
      <c r="C16" s="2" t="s">
        <v>8</v>
      </c>
      <c r="D16" s="2">
        <f t="shared" si="2"/>
        <v>1</v>
      </c>
      <c r="E16" s="2">
        <v>46.0</v>
      </c>
      <c r="F16" s="2">
        <v>21.5</v>
      </c>
      <c r="G16" s="2">
        <v>194.0</v>
      </c>
      <c r="H16" s="2">
        <v>4200.0</v>
      </c>
      <c r="I16" s="2" t="s">
        <v>9</v>
      </c>
      <c r="J16" s="2">
        <f t="shared" si="3"/>
        <v>1</v>
      </c>
    </row>
    <row r="17" ht="15.75" customHeight="1">
      <c r="A17" s="1" t="s">
        <v>7</v>
      </c>
      <c r="B17" s="1">
        <f t="shared" si="1"/>
        <v>1</v>
      </c>
      <c r="C17" s="2" t="s">
        <v>12</v>
      </c>
      <c r="D17" s="2">
        <f t="shared" si="2"/>
        <v>2</v>
      </c>
      <c r="E17" s="2">
        <v>37.8</v>
      </c>
      <c r="F17" s="2">
        <v>18.3</v>
      </c>
      <c r="G17" s="2">
        <v>174.0</v>
      </c>
      <c r="H17" s="2">
        <v>3400.0</v>
      </c>
      <c r="I17" s="2" t="s">
        <v>10</v>
      </c>
      <c r="J17" s="2">
        <f t="shared" si="3"/>
        <v>0</v>
      </c>
    </row>
    <row r="18" ht="15.75" customHeight="1">
      <c r="A18" s="1" t="s">
        <v>7</v>
      </c>
      <c r="B18" s="1">
        <f t="shared" si="1"/>
        <v>1</v>
      </c>
      <c r="C18" s="2" t="s">
        <v>12</v>
      </c>
      <c r="D18" s="2">
        <f t="shared" si="2"/>
        <v>2</v>
      </c>
      <c r="E18" s="2">
        <v>37.7</v>
      </c>
      <c r="F18" s="2">
        <v>18.7</v>
      </c>
      <c r="G18" s="2">
        <v>180.0</v>
      </c>
      <c r="H18" s="2">
        <v>3600.0</v>
      </c>
      <c r="I18" s="2" t="s">
        <v>9</v>
      </c>
      <c r="J18" s="2">
        <f t="shared" si="3"/>
        <v>1</v>
      </c>
    </row>
    <row r="19" ht="15.75" customHeight="1">
      <c r="A19" s="1" t="s">
        <v>7</v>
      </c>
      <c r="B19" s="1">
        <f t="shared" si="1"/>
        <v>1</v>
      </c>
      <c r="C19" s="2" t="s">
        <v>12</v>
      </c>
      <c r="D19" s="2">
        <f t="shared" si="2"/>
        <v>2</v>
      </c>
      <c r="E19" s="2">
        <v>35.9</v>
      </c>
      <c r="F19" s="2">
        <v>19.2</v>
      </c>
      <c r="G19" s="2">
        <v>189.0</v>
      </c>
      <c r="H19" s="2">
        <v>3800.0</v>
      </c>
      <c r="I19" s="2" t="s">
        <v>10</v>
      </c>
      <c r="J19" s="2">
        <f t="shared" si="3"/>
        <v>0</v>
      </c>
    </row>
    <row r="20" ht="15.75" customHeight="1">
      <c r="A20" s="1" t="s">
        <v>7</v>
      </c>
      <c r="B20" s="1">
        <f t="shared" si="1"/>
        <v>1</v>
      </c>
      <c r="C20" s="2" t="s">
        <v>12</v>
      </c>
      <c r="D20" s="2">
        <f t="shared" si="2"/>
        <v>2</v>
      </c>
      <c r="E20" s="2">
        <v>38.2</v>
      </c>
      <c r="F20" s="2">
        <v>18.1</v>
      </c>
      <c r="G20" s="2">
        <v>185.0</v>
      </c>
      <c r="H20" s="2">
        <v>3950.0</v>
      </c>
      <c r="I20" s="2" t="s">
        <v>9</v>
      </c>
      <c r="J20" s="2">
        <f t="shared" si="3"/>
        <v>1</v>
      </c>
    </row>
    <row r="21" ht="15.75" customHeight="1">
      <c r="A21" s="1" t="s">
        <v>7</v>
      </c>
      <c r="B21" s="1">
        <f t="shared" si="1"/>
        <v>1</v>
      </c>
      <c r="C21" s="2" t="s">
        <v>12</v>
      </c>
      <c r="D21" s="2">
        <f t="shared" si="2"/>
        <v>2</v>
      </c>
      <c r="E21" s="2">
        <v>38.8</v>
      </c>
      <c r="F21" s="2">
        <v>17.2</v>
      </c>
      <c r="G21" s="2">
        <v>180.0</v>
      </c>
      <c r="H21" s="2">
        <v>3800.0</v>
      </c>
      <c r="I21" s="2" t="s">
        <v>9</v>
      </c>
      <c r="J21" s="2">
        <f t="shared" si="3"/>
        <v>1</v>
      </c>
    </row>
    <row r="22" ht="15.75" customHeight="1">
      <c r="A22" s="1" t="s">
        <v>7</v>
      </c>
      <c r="B22" s="1">
        <f t="shared" si="1"/>
        <v>1</v>
      </c>
      <c r="C22" s="2" t="s">
        <v>12</v>
      </c>
      <c r="D22" s="2">
        <f t="shared" si="2"/>
        <v>2</v>
      </c>
      <c r="E22" s="2">
        <v>35.3</v>
      </c>
      <c r="F22" s="2">
        <v>18.9</v>
      </c>
      <c r="G22" s="2">
        <v>187.0</v>
      </c>
      <c r="H22" s="2">
        <v>3800.0</v>
      </c>
      <c r="I22" s="2" t="s">
        <v>10</v>
      </c>
      <c r="J22" s="2">
        <f t="shared" si="3"/>
        <v>0</v>
      </c>
    </row>
    <row r="23" ht="15.75" customHeight="1">
      <c r="A23" s="1" t="s">
        <v>7</v>
      </c>
      <c r="B23" s="1">
        <f t="shared" si="1"/>
        <v>1</v>
      </c>
      <c r="C23" s="2" t="s">
        <v>12</v>
      </c>
      <c r="D23" s="2">
        <f t="shared" si="2"/>
        <v>2</v>
      </c>
      <c r="E23" s="2">
        <v>40.6</v>
      </c>
      <c r="F23" s="2">
        <v>18.6</v>
      </c>
      <c r="G23" s="2">
        <v>183.0</v>
      </c>
      <c r="H23" s="2">
        <v>3550.0</v>
      </c>
      <c r="I23" s="2" t="s">
        <v>9</v>
      </c>
      <c r="J23" s="2">
        <f t="shared" si="3"/>
        <v>1</v>
      </c>
    </row>
    <row r="24" ht="15.75" customHeight="1">
      <c r="A24" s="1" t="s">
        <v>7</v>
      </c>
      <c r="B24" s="1">
        <f t="shared" si="1"/>
        <v>1</v>
      </c>
      <c r="C24" s="2" t="s">
        <v>12</v>
      </c>
      <c r="D24" s="2">
        <f t="shared" si="2"/>
        <v>2</v>
      </c>
      <c r="E24" s="2">
        <v>40.5</v>
      </c>
      <c r="F24" s="2">
        <v>17.9</v>
      </c>
      <c r="G24" s="2">
        <v>187.0</v>
      </c>
      <c r="H24" s="2">
        <v>3200.0</v>
      </c>
      <c r="I24" s="2" t="s">
        <v>10</v>
      </c>
      <c r="J24" s="2">
        <f t="shared" si="3"/>
        <v>0</v>
      </c>
    </row>
    <row r="25" ht="15.75" customHeight="1">
      <c r="A25" s="1" t="s">
        <v>7</v>
      </c>
      <c r="B25" s="1">
        <f t="shared" si="1"/>
        <v>1</v>
      </c>
      <c r="C25" s="2" t="s">
        <v>12</v>
      </c>
      <c r="D25" s="2">
        <f t="shared" si="2"/>
        <v>2</v>
      </c>
      <c r="E25" s="2">
        <v>37.9</v>
      </c>
      <c r="F25" s="2">
        <v>18.6</v>
      </c>
      <c r="G25" s="2">
        <v>172.0</v>
      </c>
      <c r="H25" s="2">
        <v>3150.0</v>
      </c>
      <c r="I25" s="2" t="s">
        <v>10</v>
      </c>
      <c r="J25" s="2">
        <f t="shared" si="3"/>
        <v>0</v>
      </c>
    </row>
    <row r="26" ht="15.75" customHeight="1">
      <c r="A26" s="1" t="s">
        <v>7</v>
      </c>
      <c r="B26" s="1">
        <f t="shared" si="1"/>
        <v>1</v>
      </c>
      <c r="C26" s="2" t="s">
        <v>12</v>
      </c>
      <c r="D26" s="2">
        <f t="shared" si="2"/>
        <v>2</v>
      </c>
      <c r="E26" s="2">
        <v>40.5</v>
      </c>
      <c r="F26" s="2">
        <v>18.9</v>
      </c>
      <c r="G26" s="2">
        <v>180.0</v>
      </c>
      <c r="H26" s="2">
        <v>3950.0</v>
      </c>
      <c r="I26" s="2" t="s">
        <v>9</v>
      </c>
      <c r="J26" s="2">
        <f t="shared" si="3"/>
        <v>1</v>
      </c>
    </row>
    <row r="27" ht="15.75" customHeight="1">
      <c r="A27" s="1" t="s">
        <v>7</v>
      </c>
      <c r="B27" s="1">
        <f t="shared" si="1"/>
        <v>1</v>
      </c>
      <c r="C27" s="2" t="s">
        <v>13</v>
      </c>
      <c r="D27" s="2">
        <f t="shared" si="2"/>
        <v>3</v>
      </c>
      <c r="E27" s="2">
        <v>39.5</v>
      </c>
      <c r="F27" s="2">
        <v>16.7</v>
      </c>
      <c r="G27" s="2">
        <v>178.0</v>
      </c>
      <c r="H27" s="2">
        <v>3250.0</v>
      </c>
      <c r="I27" s="2" t="s">
        <v>10</v>
      </c>
      <c r="J27" s="2">
        <f t="shared" si="3"/>
        <v>0</v>
      </c>
    </row>
    <row r="28" ht="15.75" customHeight="1">
      <c r="A28" s="1" t="s">
        <v>7</v>
      </c>
      <c r="B28" s="1">
        <f t="shared" si="1"/>
        <v>1</v>
      </c>
      <c r="C28" s="2" t="s">
        <v>13</v>
      </c>
      <c r="D28" s="2">
        <f t="shared" si="2"/>
        <v>3</v>
      </c>
      <c r="E28" s="2">
        <v>37.2</v>
      </c>
      <c r="F28" s="2">
        <v>18.1</v>
      </c>
      <c r="G28" s="2">
        <v>178.0</v>
      </c>
      <c r="H28" s="2">
        <v>3900.0</v>
      </c>
      <c r="I28" s="2" t="s">
        <v>9</v>
      </c>
      <c r="J28" s="2">
        <f t="shared" si="3"/>
        <v>1</v>
      </c>
    </row>
    <row r="29" ht="15.75" customHeight="1">
      <c r="A29" s="1" t="s">
        <v>7</v>
      </c>
      <c r="B29" s="1">
        <f t="shared" si="1"/>
        <v>1</v>
      </c>
      <c r="C29" s="2" t="s">
        <v>13</v>
      </c>
      <c r="D29" s="2">
        <f t="shared" si="2"/>
        <v>3</v>
      </c>
      <c r="E29" s="2">
        <v>39.5</v>
      </c>
      <c r="F29" s="2">
        <v>17.8</v>
      </c>
      <c r="G29" s="2">
        <v>188.0</v>
      </c>
      <c r="H29" s="2">
        <v>3300.0</v>
      </c>
      <c r="I29" s="2" t="s">
        <v>10</v>
      </c>
      <c r="J29" s="2">
        <f t="shared" si="3"/>
        <v>0</v>
      </c>
    </row>
    <row r="30" ht="15.75" customHeight="1">
      <c r="A30" s="1" t="s">
        <v>7</v>
      </c>
      <c r="B30" s="1">
        <f t="shared" si="1"/>
        <v>1</v>
      </c>
      <c r="C30" s="2" t="s">
        <v>13</v>
      </c>
      <c r="D30" s="2">
        <f t="shared" si="2"/>
        <v>3</v>
      </c>
      <c r="E30" s="2">
        <v>40.9</v>
      </c>
      <c r="F30" s="2">
        <v>18.9</v>
      </c>
      <c r="G30" s="2">
        <v>184.0</v>
      </c>
      <c r="H30" s="2">
        <v>3900.0</v>
      </c>
      <c r="I30" s="2" t="s">
        <v>9</v>
      </c>
      <c r="J30" s="2">
        <f t="shared" si="3"/>
        <v>1</v>
      </c>
    </row>
    <row r="31" ht="15.75" customHeight="1">
      <c r="A31" s="1" t="s">
        <v>7</v>
      </c>
      <c r="B31" s="1">
        <f t="shared" si="1"/>
        <v>1</v>
      </c>
      <c r="C31" s="2" t="s">
        <v>13</v>
      </c>
      <c r="D31" s="2">
        <f t="shared" si="2"/>
        <v>3</v>
      </c>
      <c r="E31" s="2">
        <v>36.4</v>
      </c>
      <c r="F31" s="2">
        <v>17.0</v>
      </c>
      <c r="G31" s="2">
        <v>195.0</v>
      </c>
      <c r="H31" s="2">
        <v>3325.0</v>
      </c>
      <c r="I31" s="2" t="s">
        <v>10</v>
      </c>
      <c r="J31" s="2">
        <f t="shared" si="3"/>
        <v>0</v>
      </c>
    </row>
    <row r="32" ht="15.75" customHeight="1">
      <c r="A32" s="1" t="s">
        <v>7</v>
      </c>
      <c r="B32" s="1">
        <f t="shared" si="1"/>
        <v>1</v>
      </c>
      <c r="C32" s="2" t="s">
        <v>13</v>
      </c>
      <c r="D32" s="2">
        <f t="shared" si="2"/>
        <v>3</v>
      </c>
      <c r="E32" s="2">
        <v>39.2</v>
      </c>
      <c r="F32" s="2">
        <v>21.1</v>
      </c>
      <c r="G32" s="2">
        <v>196.0</v>
      </c>
      <c r="H32" s="2">
        <v>4150.0</v>
      </c>
      <c r="I32" s="2" t="s">
        <v>9</v>
      </c>
      <c r="J32" s="2">
        <f t="shared" si="3"/>
        <v>1</v>
      </c>
    </row>
    <row r="33" ht="15.75" customHeight="1">
      <c r="A33" s="1" t="s">
        <v>7</v>
      </c>
      <c r="B33" s="1">
        <f t="shared" si="1"/>
        <v>1</v>
      </c>
      <c r="C33" s="2" t="s">
        <v>13</v>
      </c>
      <c r="D33" s="2">
        <f t="shared" si="2"/>
        <v>3</v>
      </c>
      <c r="E33" s="2">
        <v>38.8</v>
      </c>
      <c r="F33" s="2">
        <v>20.0</v>
      </c>
      <c r="G33" s="2">
        <v>190.0</v>
      </c>
      <c r="H33" s="2">
        <v>3950.0</v>
      </c>
      <c r="I33" s="2" t="s">
        <v>9</v>
      </c>
      <c r="J33" s="2">
        <f t="shared" si="3"/>
        <v>1</v>
      </c>
    </row>
    <row r="34" ht="15.75" customHeight="1">
      <c r="A34" s="1" t="s">
        <v>7</v>
      </c>
      <c r="B34" s="1">
        <f t="shared" si="1"/>
        <v>1</v>
      </c>
      <c r="C34" s="2" t="s">
        <v>13</v>
      </c>
      <c r="D34" s="2">
        <f t="shared" si="2"/>
        <v>3</v>
      </c>
      <c r="E34" s="2">
        <v>42.2</v>
      </c>
      <c r="F34" s="2">
        <v>18.5</v>
      </c>
      <c r="G34" s="2">
        <v>180.0</v>
      </c>
      <c r="H34" s="2">
        <v>3550.0</v>
      </c>
      <c r="I34" s="2" t="s">
        <v>10</v>
      </c>
      <c r="J34" s="2">
        <f t="shared" si="3"/>
        <v>0</v>
      </c>
    </row>
    <row r="35" ht="15.75" customHeight="1">
      <c r="A35" s="1" t="s">
        <v>7</v>
      </c>
      <c r="B35" s="1">
        <f t="shared" si="1"/>
        <v>1</v>
      </c>
      <c r="C35" s="2" t="s">
        <v>13</v>
      </c>
      <c r="D35" s="2">
        <f t="shared" si="2"/>
        <v>3</v>
      </c>
      <c r="E35" s="2">
        <v>37.6</v>
      </c>
      <c r="F35" s="2">
        <v>19.3</v>
      </c>
      <c r="G35" s="2">
        <v>181.0</v>
      </c>
      <c r="H35" s="2">
        <v>3300.0</v>
      </c>
      <c r="I35" s="2" t="s">
        <v>10</v>
      </c>
      <c r="J35" s="2">
        <f t="shared" si="3"/>
        <v>0</v>
      </c>
    </row>
    <row r="36" ht="15.75" customHeight="1">
      <c r="A36" s="1" t="s">
        <v>7</v>
      </c>
      <c r="B36" s="1">
        <f t="shared" si="1"/>
        <v>1</v>
      </c>
      <c r="C36" s="2" t="s">
        <v>13</v>
      </c>
      <c r="D36" s="2">
        <f t="shared" si="2"/>
        <v>3</v>
      </c>
      <c r="E36" s="2">
        <v>39.8</v>
      </c>
      <c r="F36" s="2">
        <v>19.1</v>
      </c>
      <c r="G36" s="2">
        <v>184.0</v>
      </c>
      <c r="H36" s="2">
        <v>4650.0</v>
      </c>
      <c r="I36" s="2" t="s">
        <v>9</v>
      </c>
      <c r="J36" s="2">
        <f t="shared" si="3"/>
        <v>1</v>
      </c>
    </row>
    <row r="37" ht="15.75" customHeight="1">
      <c r="A37" s="1" t="s">
        <v>7</v>
      </c>
      <c r="B37" s="1">
        <f t="shared" si="1"/>
        <v>1</v>
      </c>
      <c r="C37" s="2" t="s">
        <v>13</v>
      </c>
      <c r="D37" s="2">
        <f t="shared" si="2"/>
        <v>3</v>
      </c>
      <c r="E37" s="2">
        <v>36.5</v>
      </c>
      <c r="F37" s="2">
        <v>18.0</v>
      </c>
      <c r="G37" s="2">
        <v>182.0</v>
      </c>
      <c r="H37" s="2">
        <v>3150.0</v>
      </c>
      <c r="I37" s="2" t="s">
        <v>10</v>
      </c>
      <c r="J37" s="2">
        <f t="shared" si="3"/>
        <v>0</v>
      </c>
    </row>
    <row r="38" ht="15.75" customHeight="1">
      <c r="A38" s="1" t="s">
        <v>7</v>
      </c>
      <c r="B38" s="1">
        <f t="shared" si="1"/>
        <v>1</v>
      </c>
      <c r="C38" s="2" t="s">
        <v>13</v>
      </c>
      <c r="D38" s="2">
        <f t="shared" si="2"/>
        <v>3</v>
      </c>
      <c r="E38" s="2">
        <v>40.8</v>
      </c>
      <c r="F38" s="2">
        <v>18.4</v>
      </c>
      <c r="G38" s="2">
        <v>195.0</v>
      </c>
      <c r="H38" s="2">
        <v>3900.0</v>
      </c>
      <c r="I38" s="2" t="s">
        <v>9</v>
      </c>
      <c r="J38" s="2">
        <f t="shared" si="3"/>
        <v>1</v>
      </c>
    </row>
    <row r="39" ht="15.75" customHeight="1">
      <c r="A39" s="1" t="s">
        <v>7</v>
      </c>
      <c r="B39" s="1">
        <f t="shared" si="1"/>
        <v>1</v>
      </c>
      <c r="C39" s="2" t="s">
        <v>13</v>
      </c>
      <c r="D39" s="2">
        <f t="shared" si="2"/>
        <v>3</v>
      </c>
      <c r="E39" s="2">
        <v>36.0</v>
      </c>
      <c r="F39" s="2">
        <v>18.5</v>
      </c>
      <c r="G39" s="2">
        <v>186.0</v>
      </c>
      <c r="H39" s="2">
        <v>3100.0</v>
      </c>
      <c r="I39" s="2" t="s">
        <v>10</v>
      </c>
      <c r="J39" s="2">
        <f t="shared" si="3"/>
        <v>0</v>
      </c>
    </row>
    <row r="40" ht="15.75" customHeight="1">
      <c r="A40" s="1" t="s">
        <v>7</v>
      </c>
      <c r="B40" s="1">
        <f t="shared" si="1"/>
        <v>1</v>
      </c>
      <c r="C40" s="2" t="s">
        <v>13</v>
      </c>
      <c r="D40" s="2">
        <f t="shared" si="2"/>
        <v>3</v>
      </c>
      <c r="E40" s="2">
        <v>44.1</v>
      </c>
      <c r="F40" s="2">
        <v>19.7</v>
      </c>
      <c r="G40" s="2">
        <v>196.0</v>
      </c>
      <c r="H40" s="2">
        <v>4400.0</v>
      </c>
      <c r="I40" s="2" t="s">
        <v>9</v>
      </c>
      <c r="J40" s="2">
        <f t="shared" si="3"/>
        <v>1</v>
      </c>
    </row>
    <row r="41" ht="15.75" customHeight="1">
      <c r="A41" s="1" t="s">
        <v>7</v>
      </c>
      <c r="B41" s="1">
        <f t="shared" si="1"/>
        <v>1</v>
      </c>
      <c r="C41" s="2" t="s">
        <v>13</v>
      </c>
      <c r="D41" s="2">
        <f t="shared" si="2"/>
        <v>3</v>
      </c>
      <c r="E41" s="2">
        <v>37.0</v>
      </c>
      <c r="F41" s="2">
        <v>16.9</v>
      </c>
      <c r="G41" s="2">
        <v>185.0</v>
      </c>
      <c r="H41" s="2">
        <v>3000.0</v>
      </c>
      <c r="I41" s="2" t="s">
        <v>10</v>
      </c>
      <c r="J41" s="2">
        <f t="shared" si="3"/>
        <v>0</v>
      </c>
    </row>
    <row r="42" ht="15.75" customHeight="1">
      <c r="A42" s="1" t="s">
        <v>7</v>
      </c>
      <c r="B42" s="1">
        <f t="shared" si="1"/>
        <v>1</v>
      </c>
      <c r="C42" s="2" t="s">
        <v>13</v>
      </c>
      <c r="D42" s="2">
        <f t="shared" si="2"/>
        <v>3</v>
      </c>
      <c r="E42" s="2">
        <v>39.6</v>
      </c>
      <c r="F42" s="2">
        <v>18.8</v>
      </c>
      <c r="G42" s="2">
        <v>190.0</v>
      </c>
      <c r="H42" s="2">
        <v>4600.0</v>
      </c>
      <c r="I42" s="2" t="s">
        <v>9</v>
      </c>
      <c r="J42" s="2">
        <f t="shared" si="3"/>
        <v>1</v>
      </c>
    </row>
    <row r="43" ht="15.75" customHeight="1">
      <c r="A43" s="1" t="s">
        <v>7</v>
      </c>
      <c r="B43" s="1">
        <f t="shared" si="1"/>
        <v>1</v>
      </c>
      <c r="C43" s="2" t="s">
        <v>13</v>
      </c>
      <c r="D43" s="2">
        <f t="shared" si="2"/>
        <v>3</v>
      </c>
      <c r="E43" s="2">
        <v>41.1</v>
      </c>
      <c r="F43" s="2">
        <v>19.0</v>
      </c>
      <c r="G43" s="2">
        <v>182.0</v>
      </c>
      <c r="H43" s="2">
        <v>3425.0</v>
      </c>
      <c r="I43" s="2" t="s">
        <v>9</v>
      </c>
      <c r="J43" s="2">
        <f t="shared" si="3"/>
        <v>1</v>
      </c>
    </row>
    <row r="44" ht="15.75" customHeight="1">
      <c r="A44" s="1" t="s">
        <v>7</v>
      </c>
      <c r="B44" s="1">
        <f t="shared" si="1"/>
        <v>1</v>
      </c>
      <c r="C44" s="2" t="s">
        <v>13</v>
      </c>
      <c r="D44" s="2">
        <f t="shared" si="2"/>
        <v>3</v>
      </c>
      <c r="E44" s="2">
        <v>36.0</v>
      </c>
      <c r="F44" s="2">
        <v>17.9</v>
      </c>
      <c r="G44" s="2">
        <v>190.0</v>
      </c>
      <c r="H44" s="2">
        <v>3450.0</v>
      </c>
      <c r="I44" s="2" t="s">
        <v>10</v>
      </c>
      <c r="J44" s="2">
        <f t="shared" si="3"/>
        <v>0</v>
      </c>
    </row>
    <row r="45" ht="15.75" customHeight="1">
      <c r="A45" s="1" t="s">
        <v>7</v>
      </c>
      <c r="B45" s="1">
        <f t="shared" si="1"/>
        <v>1</v>
      </c>
      <c r="C45" s="2" t="s">
        <v>13</v>
      </c>
      <c r="D45" s="2">
        <f t="shared" si="2"/>
        <v>3</v>
      </c>
      <c r="E45" s="2">
        <v>42.3</v>
      </c>
      <c r="F45" s="2">
        <v>21.2</v>
      </c>
      <c r="G45" s="2">
        <v>191.0</v>
      </c>
      <c r="H45" s="2">
        <v>4150.0</v>
      </c>
      <c r="I45" s="2" t="s">
        <v>9</v>
      </c>
      <c r="J45" s="2">
        <f t="shared" si="3"/>
        <v>1</v>
      </c>
    </row>
    <row r="46" ht="15.75" customHeight="1">
      <c r="A46" s="1" t="s">
        <v>7</v>
      </c>
      <c r="B46" s="1">
        <f t="shared" si="1"/>
        <v>1</v>
      </c>
      <c r="C46" s="2" t="s">
        <v>12</v>
      </c>
      <c r="D46" s="2">
        <f t="shared" si="2"/>
        <v>2</v>
      </c>
      <c r="E46" s="2">
        <v>39.6</v>
      </c>
      <c r="F46" s="2">
        <v>17.7</v>
      </c>
      <c r="G46" s="2">
        <v>186.0</v>
      </c>
      <c r="H46" s="2">
        <v>3500.0</v>
      </c>
      <c r="I46" s="2" t="s">
        <v>10</v>
      </c>
      <c r="J46" s="2">
        <f t="shared" si="3"/>
        <v>0</v>
      </c>
    </row>
    <row r="47" ht="15.75" customHeight="1">
      <c r="A47" s="1" t="s">
        <v>7</v>
      </c>
      <c r="B47" s="1">
        <f t="shared" si="1"/>
        <v>1</v>
      </c>
      <c r="C47" s="2" t="s">
        <v>12</v>
      </c>
      <c r="D47" s="2">
        <f t="shared" si="2"/>
        <v>2</v>
      </c>
      <c r="E47" s="2">
        <v>40.1</v>
      </c>
      <c r="F47" s="2">
        <v>18.9</v>
      </c>
      <c r="G47" s="2">
        <v>188.0</v>
      </c>
      <c r="H47" s="2">
        <v>4300.0</v>
      </c>
      <c r="I47" s="2" t="s">
        <v>9</v>
      </c>
      <c r="J47" s="2">
        <f t="shared" si="3"/>
        <v>1</v>
      </c>
    </row>
    <row r="48" ht="15.75" customHeight="1">
      <c r="A48" s="1" t="s">
        <v>7</v>
      </c>
      <c r="B48" s="1">
        <f t="shared" si="1"/>
        <v>1</v>
      </c>
      <c r="C48" s="2" t="s">
        <v>12</v>
      </c>
      <c r="D48" s="2">
        <f t="shared" si="2"/>
        <v>2</v>
      </c>
      <c r="E48" s="2">
        <v>35.0</v>
      </c>
      <c r="F48" s="2">
        <v>17.9</v>
      </c>
      <c r="G48" s="2">
        <v>190.0</v>
      </c>
      <c r="H48" s="2">
        <v>3450.0</v>
      </c>
      <c r="I48" s="2" t="s">
        <v>10</v>
      </c>
      <c r="J48" s="2">
        <f t="shared" si="3"/>
        <v>0</v>
      </c>
    </row>
    <row r="49" ht="15.75" customHeight="1">
      <c r="A49" s="1" t="s">
        <v>7</v>
      </c>
      <c r="B49" s="1">
        <f t="shared" si="1"/>
        <v>1</v>
      </c>
      <c r="C49" s="2" t="s">
        <v>12</v>
      </c>
      <c r="D49" s="2">
        <f t="shared" si="2"/>
        <v>2</v>
      </c>
      <c r="E49" s="2">
        <v>42.0</v>
      </c>
      <c r="F49" s="2">
        <v>19.5</v>
      </c>
      <c r="G49" s="2">
        <v>200.0</v>
      </c>
      <c r="H49" s="2">
        <v>4050.0</v>
      </c>
      <c r="I49" s="2" t="s">
        <v>9</v>
      </c>
      <c r="J49" s="2">
        <f t="shared" si="3"/>
        <v>1</v>
      </c>
    </row>
    <row r="50" ht="15.75" customHeight="1">
      <c r="A50" s="1" t="s">
        <v>7</v>
      </c>
      <c r="B50" s="1">
        <f t="shared" si="1"/>
        <v>1</v>
      </c>
      <c r="C50" s="2" t="s">
        <v>12</v>
      </c>
      <c r="D50" s="2">
        <f t="shared" si="2"/>
        <v>2</v>
      </c>
      <c r="E50" s="2">
        <v>34.5</v>
      </c>
      <c r="F50" s="2">
        <v>18.1</v>
      </c>
      <c r="G50" s="2">
        <v>187.0</v>
      </c>
      <c r="H50" s="2">
        <v>2900.0</v>
      </c>
      <c r="I50" s="2" t="s">
        <v>10</v>
      </c>
      <c r="J50" s="2">
        <f t="shared" si="3"/>
        <v>0</v>
      </c>
    </row>
    <row r="51" ht="15.75" customHeight="1">
      <c r="A51" s="1" t="s">
        <v>7</v>
      </c>
      <c r="B51" s="1">
        <f t="shared" si="1"/>
        <v>1</v>
      </c>
      <c r="C51" s="2" t="s">
        <v>12</v>
      </c>
      <c r="D51" s="2">
        <f t="shared" si="2"/>
        <v>2</v>
      </c>
      <c r="E51" s="2">
        <v>41.4</v>
      </c>
      <c r="F51" s="2">
        <v>18.6</v>
      </c>
      <c r="G51" s="2">
        <v>191.0</v>
      </c>
      <c r="H51" s="2">
        <v>3700.0</v>
      </c>
      <c r="I51" s="2" t="s">
        <v>9</v>
      </c>
      <c r="J51" s="2">
        <f t="shared" si="3"/>
        <v>1</v>
      </c>
    </row>
    <row r="52" ht="15.75" customHeight="1">
      <c r="A52" s="1" t="s">
        <v>7</v>
      </c>
      <c r="B52" s="1">
        <f t="shared" si="1"/>
        <v>1</v>
      </c>
      <c r="C52" s="2" t="s">
        <v>12</v>
      </c>
      <c r="D52" s="2">
        <f t="shared" si="2"/>
        <v>2</v>
      </c>
      <c r="E52" s="2">
        <v>39.0</v>
      </c>
      <c r="F52" s="2">
        <v>17.5</v>
      </c>
      <c r="G52" s="2">
        <v>186.0</v>
      </c>
      <c r="H52" s="2">
        <v>3550.0</v>
      </c>
      <c r="I52" s="2" t="s">
        <v>10</v>
      </c>
      <c r="J52" s="2">
        <f t="shared" si="3"/>
        <v>0</v>
      </c>
    </row>
    <row r="53" ht="15.75" customHeight="1">
      <c r="A53" s="1" t="s">
        <v>7</v>
      </c>
      <c r="B53" s="1">
        <f t="shared" si="1"/>
        <v>1</v>
      </c>
      <c r="C53" s="2" t="s">
        <v>12</v>
      </c>
      <c r="D53" s="2">
        <f t="shared" si="2"/>
        <v>2</v>
      </c>
      <c r="E53" s="2">
        <v>40.6</v>
      </c>
      <c r="F53" s="2">
        <v>18.8</v>
      </c>
      <c r="G53" s="2">
        <v>193.0</v>
      </c>
      <c r="H53" s="2">
        <v>3800.0</v>
      </c>
      <c r="I53" s="2" t="s">
        <v>9</v>
      </c>
      <c r="J53" s="2">
        <f t="shared" si="3"/>
        <v>1</v>
      </c>
    </row>
    <row r="54" ht="15.75" customHeight="1">
      <c r="A54" s="1" t="s">
        <v>7</v>
      </c>
      <c r="B54" s="1">
        <f t="shared" si="1"/>
        <v>1</v>
      </c>
      <c r="C54" s="2" t="s">
        <v>12</v>
      </c>
      <c r="D54" s="2">
        <f t="shared" si="2"/>
        <v>2</v>
      </c>
      <c r="E54" s="2">
        <v>36.5</v>
      </c>
      <c r="F54" s="2">
        <v>16.6</v>
      </c>
      <c r="G54" s="2">
        <v>181.0</v>
      </c>
      <c r="H54" s="2">
        <v>2850.0</v>
      </c>
      <c r="I54" s="2" t="s">
        <v>10</v>
      </c>
      <c r="J54" s="2">
        <f t="shared" si="3"/>
        <v>0</v>
      </c>
    </row>
    <row r="55" ht="15.75" customHeight="1">
      <c r="A55" s="1" t="s">
        <v>7</v>
      </c>
      <c r="B55" s="1">
        <f t="shared" si="1"/>
        <v>1</v>
      </c>
      <c r="C55" s="2" t="s">
        <v>12</v>
      </c>
      <c r="D55" s="2">
        <f t="shared" si="2"/>
        <v>2</v>
      </c>
      <c r="E55" s="2">
        <v>37.6</v>
      </c>
      <c r="F55" s="2">
        <v>19.1</v>
      </c>
      <c r="G55" s="2">
        <v>194.0</v>
      </c>
      <c r="H55" s="2">
        <v>3750.0</v>
      </c>
      <c r="I55" s="2" t="s">
        <v>9</v>
      </c>
      <c r="J55" s="2">
        <f t="shared" si="3"/>
        <v>1</v>
      </c>
    </row>
    <row r="56" ht="15.75" customHeight="1">
      <c r="A56" s="1" t="s">
        <v>7</v>
      </c>
      <c r="B56" s="1">
        <f t="shared" si="1"/>
        <v>1</v>
      </c>
      <c r="C56" s="2" t="s">
        <v>12</v>
      </c>
      <c r="D56" s="2">
        <f t="shared" si="2"/>
        <v>2</v>
      </c>
      <c r="E56" s="2">
        <v>35.7</v>
      </c>
      <c r="F56" s="2">
        <v>16.9</v>
      </c>
      <c r="G56" s="2">
        <v>185.0</v>
      </c>
      <c r="H56" s="2">
        <v>3150.0</v>
      </c>
      <c r="I56" s="2" t="s">
        <v>10</v>
      </c>
      <c r="J56" s="2">
        <f t="shared" si="3"/>
        <v>0</v>
      </c>
    </row>
    <row r="57" ht="15.75" customHeight="1">
      <c r="A57" s="1" t="s">
        <v>7</v>
      </c>
      <c r="B57" s="1">
        <f t="shared" si="1"/>
        <v>1</v>
      </c>
      <c r="C57" s="2" t="s">
        <v>12</v>
      </c>
      <c r="D57" s="2">
        <f t="shared" si="2"/>
        <v>2</v>
      </c>
      <c r="E57" s="2">
        <v>41.3</v>
      </c>
      <c r="F57" s="2">
        <v>21.1</v>
      </c>
      <c r="G57" s="2">
        <v>195.0</v>
      </c>
      <c r="H57" s="2">
        <v>4400.0</v>
      </c>
      <c r="I57" s="2" t="s">
        <v>9</v>
      </c>
      <c r="J57" s="2">
        <f t="shared" si="3"/>
        <v>1</v>
      </c>
    </row>
    <row r="58" ht="15.75" customHeight="1">
      <c r="A58" s="1" t="s">
        <v>7</v>
      </c>
      <c r="B58" s="1">
        <f t="shared" si="1"/>
        <v>1</v>
      </c>
      <c r="C58" s="2" t="s">
        <v>12</v>
      </c>
      <c r="D58" s="2">
        <f t="shared" si="2"/>
        <v>2</v>
      </c>
      <c r="E58" s="2">
        <v>37.6</v>
      </c>
      <c r="F58" s="2">
        <v>17.0</v>
      </c>
      <c r="G58" s="2">
        <v>185.0</v>
      </c>
      <c r="H58" s="2">
        <v>3600.0</v>
      </c>
      <c r="I58" s="2" t="s">
        <v>10</v>
      </c>
      <c r="J58" s="2">
        <f t="shared" si="3"/>
        <v>0</v>
      </c>
    </row>
    <row r="59" ht="15.75" customHeight="1">
      <c r="A59" s="1" t="s">
        <v>7</v>
      </c>
      <c r="B59" s="1">
        <f t="shared" si="1"/>
        <v>1</v>
      </c>
      <c r="C59" s="2" t="s">
        <v>12</v>
      </c>
      <c r="D59" s="2">
        <f t="shared" si="2"/>
        <v>2</v>
      </c>
      <c r="E59" s="2">
        <v>41.1</v>
      </c>
      <c r="F59" s="2">
        <v>18.2</v>
      </c>
      <c r="G59" s="2">
        <v>192.0</v>
      </c>
      <c r="H59" s="2">
        <v>4050.0</v>
      </c>
      <c r="I59" s="2" t="s">
        <v>9</v>
      </c>
      <c r="J59" s="2">
        <f t="shared" si="3"/>
        <v>1</v>
      </c>
    </row>
    <row r="60" ht="15.75" customHeight="1">
      <c r="A60" s="1" t="s">
        <v>7</v>
      </c>
      <c r="B60" s="1">
        <f t="shared" si="1"/>
        <v>1</v>
      </c>
      <c r="C60" s="2" t="s">
        <v>12</v>
      </c>
      <c r="D60" s="2">
        <f t="shared" si="2"/>
        <v>2</v>
      </c>
      <c r="E60" s="2">
        <v>36.4</v>
      </c>
      <c r="F60" s="2">
        <v>17.1</v>
      </c>
      <c r="G60" s="2">
        <v>184.0</v>
      </c>
      <c r="H60" s="2">
        <v>2850.0</v>
      </c>
      <c r="I60" s="2" t="s">
        <v>10</v>
      </c>
      <c r="J60" s="2">
        <f t="shared" si="3"/>
        <v>0</v>
      </c>
    </row>
    <row r="61" ht="15.75" customHeight="1">
      <c r="A61" s="1" t="s">
        <v>7</v>
      </c>
      <c r="B61" s="1">
        <f t="shared" si="1"/>
        <v>1</v>
      </c>
      <c r="C61" s="2" t="s">
        <v>12</v>
      </c>
      <c r="D61" s="2">
        <f t="shared" si="2"/>
        <v>2</v>
      </c>
      <c r="E61" s="2">
        <v>41.6</v>
      </c>
      <c r="F61" s="2">
        <v>18.0</v>
      </c>
      <c r="G61" s="2">
        <v>192.0</v>
      </c>
      <c r="H61" s="2">
        <v>3950.0</v>
      </c>
      <c r="I61" s="2" t="s">
        <v>9</v>
      </c>
      <c r="J61" s="2">
        <f t="shared" si="3"/>
        <v>1</v>
      </c>
    </row>
    <row r="62" ht="15.75" customHeight="1">
      <c r="A62" s="1" t="s">
        <v>7</v>
      </c>
      <c r="B62" s="1">
        <f t="shared" si="1"/>
        <v>1</v>
      </c>
      <c r="C62" s="2" t="s">
        <v>12</v>
      </c>
      <c r="D62" s="2">
        <f t="shared" si="2"/>
        <v>2</v>
      </c>
      <c r="E62" s="2">
        <v>35.5</v>
      </c>
      <c r="F62" s="2">
        <v>16.2</v>
      </c>
      <c r="G62" s="2">
        <v>195.0</v>
      </c>
      <c r="H62" s="2">
        <v>3350.0</v>
      </c>
      <c r="I62" s="2" t="s">
        <v>10</v>
      </c>
      <c r="J62" s="2">
        <f t="shared" si="3"/>
        <v>0</v>
      </c>
    </row>
    <row r="63" ht="15.75" customHeight="1">
      <c r="A63" s="1" t="s">
        <v>7</v>
      </c>
      <c r="B63" s="1">
        <f t="shared" si="1"/>
        <v>1</v>
      </c>
      <c r="C63" s="2" t="s">
        <v>12</v>
      </c>
      <c r="D63" s="2">
        <f t="shared" si="2"/>
        <v>2</v>
      </c>
      <c r="E63" s="2">
        <v>41.1</v>
      </c>
      <c r="F63" s="2">
        <v>19.1</v>
      </c>
      <c r="G63" s="2">
        <v>188.0</v>
      </c>
      <c r="H63" s="2">
        <v>4100.0</v>
      </c>
      <c r="I63" s="2" t="s">
        <v>9</v>
      </c>
      <c r="J63" s="2">
        <f t="shared" si="3"/>
        <v>1</v>
      </c>
    </row>
    <row r="64" ht="15.75" customHeight="1">
      <c r="A64" s="1" t="s">
        <v>7</v>
      </c>
      <c r="B64" s="1">
        <f t="shared" si="1"/>
        <v>1</v>
      </c>
      <c r="C64" s="2" t="s">
        <v>8</v>
      </c>
      <c r="D64" s="2">
        <f t="shared" si="2"/>
        <v>1</v>
      </c>
      <c r="E64" s="2">
        <v>35.9</v>
      </c>
      <c r="F64" s="2">
        <v>16.6</v>
      </c>
      <c r="G64" s="2">
        <v>190.0</v>
      </c>
      <c r="H64" s="2">
        <v>3050.0</v>
      </c>
      <c r="I64" s="2" t="s">
        <v>10</v>
      </c>
      <c r="J64" s="2">
        <f t="shared" si="3"/>
        <v>0</v>
      </c>
    </row>
    <row r="65" ht="15.75" customHeight="1">
      <c r="A65" s="1" t="s">
        <v>7</v>
      </c>
      <c r="B65" s="1">
        <f t="shared" si="1"/>
        <v>1</v>
      </c>
      <c r="C65" s="2" t="s">
        <v>8</v>
      </c>
      <c r="D65" s="2">
        <f t="shared" si="2"/>
        <v>1</v>
      </c>
      <c r="E65" s="2">
        <v>41.8</v>
      </c>
      <c r="F65" s="2">
        <v>19.4</v>
      </c>
      <c r="G65" s="2">
        <v>198.0</v>
      </c>
      <c r="H65" s="2">
        <v>4450.0</v>
      </c>
      <c r="I65" s="2" t="s">
        <v>9</v>
      </c>
      <c r="J65" s="2">
        <f t="shared" si="3"/>
        <v>1</v>
      </c>
    </row>
    <row r="66" ht="15.75" customHeight="1">
      <c r="A66" s="1" t="s">
        <v>7</v>
      </c>
      <c r="B66" s="1">
        <f t="shared" si="1"/>
        <v>1</v>
      </c>
      <c r="C66" s="2" t="s">
        <v>8</v>
      </c>
      <c r="D66" s="2">
        <f t="shared" si="2"/>
        <v>1</v>
      </c>
      <c r="E66" s="2">
        <v>33.5</v>
      </c>
      <c r="F66" s="2">
        <v>19.0</v>
      </c>
      <c r="G66" s="2">
        <v>190.0</v>
      </c>
      <c r="H66" s="2">
        <v>3600.0</v>
      </c>
      <c r="I66" s="2" t="s">
        <v>10</v>
      </c>
      <c r="J66" s="2">
        <f t="shared" si="3"/>
        <v>0</v>
      </c>
    </row>
    <row r="67" ht="15.75" customHeight="1">
      <c r="A67" s="1" t="s">
        <v>7</v>
      </c>
      <c r="B67" s="1">
        <f t="shared" si="1"/>
        <v>1</v>
      </c>
      <c r="C67" s="2" t="s">
        <v>8</v>
      </c>
      <c r="D67" s="2">
        <f t="shared" si="2"/>
        <v>1</v>
      </c>
      <c r="E67" s="2">
        <v>39.7</v>
      </c>
      <c r="F67" s="2">
        <v>18.4</v>
      </c>
      <c r="G67" s="2">
        <v>190.0</v>
      </c>
      <c r="H67" s="2">
        <v>3900.0</v>
      </c>
      <c r="I67" s="2" t="s">
        <v>9</v>
      </c>
      <c r="J67" s="2">
        <f t="shared" si="3"/>
        <v>1</v>
      </c>
    </row>
    <row r="68" ht="15.75" customHeight="1">
      <c r="A68" s="1" t="s">
        <v>7</v>
      </c>
      <c r="B68" s="1">
        <f t="shared" si="1"/>
        <v>1</v>
      </c>
      <c r="C68" s="2" t="s">
        <v>8</v>
      </c>
      <c r="D68" s="2">
        <f t="shared" si="2"/>
        <v>1</v>
      </c>
      <c r="E68" s="2">
        <v>39.6</v>
      </c>
      <c r="F68" s="2">
        <v>17.2</v>
      </c>
      <c r="G68" s="2">
        <v>196.0</v>
      </c>
      <c r="H68" s="2">
        <v>3550.0</v>
      </c>
      <c r="I68" s="2" t="s">
        <v>10</v>
      </c>
      <c r="J68" s="2">
        <f t="shared" si="3"/>
        <v>0</v>
      </c>
    </row>
    <row r="69" ht="15.75" customHeight="1">
      <c r="A69" s="1" t="s">
        <v>7</v>
      </c>
      <c r="B69" s="1">
        <f t="shared" si="1"/>
        <v>1</v>
      </c>
      <c r="C69" s="2" t="s">
        <v>8</v>
      </c>
      <c r="D69" s="2">
        <f t="shared" si="2"/>
        <v>1</v>
      </c>
      <c r="E69" s="2">
        <v>45.8</v>
      </c>
      <c r="F69" s="2">
        <v>18.9</v>
      </c>
      <c r="G69" s="2">
        <v>197.0</v>
      </c>
      <c r="H69" s="2">
        <v>4150.0</v>
      </c>
      <c r="I69" s="2" t="s">
        <v>9</v>
      </c>
      <c r="J69" s="2">
        <f t="shared" si="3"/>
        <v>1</v>
      </c>
    </row>
    <row r="70" ht="15.75" customHeight="1">
      <c r="A70" s="1" t="s">
        <v>7</v>
      </c>
      <c r="B70" s="1">
        <f t="shared" si="1"/>
        <v>1</v>
      </c>
      <c r="C70" s="2" t="s">
        <v>8</v>
      </c>
      <c r="D70" s="2">
        <f t="shared" si="2"/>
        <v>1</v>
      </c>
      <c r="E70" s="2">
        <v>35.5</v>
      </c>
      <c r="F70" s="2">
        <v>17.5</v>
      </c>
      <c r="G70" s="2">
        <v>190.0</v>
      </c>
      <c r="H70" s="2">
        <v>3700.0</v>
      </c>
      <c r="I70" s="2" t="s">
        <v>10</v>
      </c>
      <c r="J70" s="2">
        <f t="shared" si="3"/>
        <v>0</v>
      </c>
    </row>
    <row r="71" ht="15.75" customHeight="1">
      <c r="A71" s="1" t="s">
        <v>7</v>
      </c>
      <c r="B71" s="1">
        <f t="shared" si="1"/>
        <v>1</v>
      </c>
      <c r="C71" s="2" t="s">
        <v>8</v>
      </c>
      <c r="D71" s="2">
        <f t="shared" si="2"/>
        <v>1</v>
      </c>
      <c r="E71" s="2">
        <v>42.8</v>
      </c>
      <c r="F71" s="2">
        <v>18.5</v>
      </c>
      <c r="G71" s="2">
        <v>195.0</v>
      </c>
      <c r="H71" s="2">
        <v>4250.0</v>
      </c>
      <c r="I71" s="2" t="s">
        <v>9</v>
      </c>
      <c r="J71" s="2">
        <f t="shared" si="3"/>
        <v>1</v>
      </c>
    </row>
    <row r="72" ht="15.75" customHeight="1">
      <c r="A72" s="1" t="s">
        <v>7</v>
      </c>
      <c r="B72" s="1">
        <f t="shared" si="1"/>
        <v>1</v>
      </c>
      <c r="C72" s="2" t="s">
        <v>8</v>
      </c>
      <c r="D72" s="2">
        <f t="shared" si="2"/>
        <v>1</v>
      </c>
      <c r="E72" s="2">
        <v>40.9</v>
      </c>
      <c r="F72" s="2">
        <v>16.8</v>
      </c>
      <c r="G72" s="2">
        <v>191.0</v>
      </c>
      <c r="H72" s="2">
        <v>3700.0</v>
      </c>
      <c r="I72" s="2" t="s">
        <v>10</v>
      </c>
      <c r="J72" s="2">
        <f t="shared" si="3"/>
        <v>0</v>
      </c>
    </row>
    <row r="73" ht="15.75" customHeight="1">
      <c r="A73" s="1" t="s">
        <v>7</v>
      </c>
      <c r="B73" s="1">
        <f t="shared" si="1"/>
        <v>1</v>
      </c>
      <c r="C73" s="2" t="s">
        <v>8</v>
      </c>
      <c r="D73" s="2">
        <f t="shared" si="2"/>
        <v>1</v>
      </c>
      <c r="E73" s="2">
        <v>37.2</v>
      </c>
      <c r="F73" s="2">
        <v>19.4</v>
      </c>
      <c r="G73" s="2">
        <v>184.0</v>
      </c>
      <c r="H73" s="2">
        <v>3900.0</v>
      </c>
      <c r="I73" s="2" t="s">
        <v>9</v>
      </c>
      <c r="J73" s="2">
        <f t="shared" si="3"/>
        <v>1</v>
      </c>
    </row>
    <row r="74" ht="15.75" customHeight="1">
      <c r="A74" s="1" t="s">
        <v>7</v>
      </c>
      <c r="B74" s="1">
        <f t="shared" si="1"/>
        <v>1</v>
      </c>
      <c r="C74" s="2" t="s">
        <v>8</v>
      </c>
      <c r="D74" s="2">
        <f t="shared" si="2"/>
        <v>1</v>
      </c>
      <c r="E74" s="2">
        <v>36.2</v>
      </c>
      <c r="F74" s="2">
        <v>16.1</v>
      </c>
      <c r="G74" s="2">
        <v>187.0</v>
      </c>
      <c r="H74" s="2">
        <v>3550.0</v>
      </c>
      <c r="I74" s="2" t="s">
        <v>10</v>
      </c>
      <c r="J74" s="2">
        <f t="shared" si="3"/>
        <v>0</v>
      </c>
    </row>
    <row r="75" ht="15.75" customHeight="1">
      <c r="A75" s="1" t="s">
        <v>7</v>
      </c>
      <c r="B75" s="1">
        <f t="shared" si="1"/>
        <v>1</v>
      </c>
      <c r="C75" s="2" t="s">
        <v>8</v>
      </c>
      <c r="D75" s="2">
        <f t="shared" si="2"/>
        <v>1</v>
      </c>
      <c r="E75" s="2">
        <v>42.1</v>
      </c>
      <c r="F75" s="2">
        <v>19.1</v>
      </c>
      <c r="G75" s="2">
        <v>195.0</v>
      </c>
      <c r="H75" s="2">
        <v>4000.0</v>
      </c>
      <c r="I75" s="2" t="s">
        <v>9</v>
      </c>
      <c r="J75" s="2">
        <f t="shared" si="3"/>
        <v>1</v>
      </c>
    </row>
    <row r="76" ht="15.75" customHeight="1">
      <c r="A76" s="1" t="s">
        <v>7</v>
      </c>
      <c r="B76" s="1">
        <f t="shared" si="1"/>
        <v>1</v>
      </c>
      <c r="C76" s="2" t="s">
        <v>8</v>
      </c>
      <c r="D76" s="2">
        <f t="shared" si="2"/>
        <v>1</v>
      </c>
      <c r="E76" s="2">
        <v>34.6</v>
      </c>
      <c r="F76" s="2">
        <v>17.2</v>
      </c>
      <c r="G76" s="2">
        <v>189.0</v>
      </c>
      <c r="H76" s="2">
        <v>3200.0</v>
      </c>
      <c r="I76" s="2" t="s">
        <v>10</v>
      </c>
      <c r="J76" s="2">
        <f t="shared" si="3"/>
        <v>0</v>
      </c>
    </row>
    <row r="77" ht="15.75" customHeight="1">
      <c r="A77" s="1" t="s">
        <v>7</v>
      </c>
      <c r="B77" s="1">
        <f t="shared" si="1"/>
        <v>1</v>
      </c>
      <c r="C77" s="2" t="s">
        <v>8</v>
      </c>
      <c r="D77" s="2">
        <f t="shared" si="2"/>
        <v>1</v>
      </c>
      <c r="E77" s="2">
        <v>42.9</v>
      </c>
      <c r="F77" s="2">
        <v>17.6</v>
      </c>
      <c r="G77" s="2">
        <v>196.0</v>
      </c>
      <c r="H77" s="2">
        <v>4700.0</v>
      </c>
      <c r="I77" s="2" t="s">
        <v>9</v>
      </c>
      <c r="J77" s="2">
        <f t="shared" si="3"/>
        <v>1</v>
      </c>
    </row>
    <row r="78" ht="15.75" customHeight="1">
      <c r="A78" s="1" t="s">
        <v>7</v>
      </c>
      <c r="B78" s="1">
        <f t="shared" si="1"/>
        <v>1</v>
      </c>
      <c r="C78" s="2" t="s">
        <v>8</v>
      </c>
      <c r="D78" s="2">
        <f t="shared" si="2"/>
        <v>1</v>
      </c>
      <c r="E78" s="2">
        <v>36.7</v>
      </c>
      <c r="F78" s="2">
        <v>18.8</v>
      </c>
      <c r="G78" s="2">
        <v>187.0</v>
      </c>
      <c r="H78" s="2">
        <v>3800.0</v>
      </c>
      <c r="I78" s="2" t="s">
        <v>10</v>
      </c>
      <c r="J78" s="2">
        <f t="shared" si="3"/>
        <v>0</v>
      </c>
    </row>
    <row r="79" ht="15.75" customHeight="1">
      <c r="A79" s="1" t="s">
        <v>7</v>
      </c>
      <c r="B79" s="1">
        <f t="shared" si="1"/>
        <v>1</v>
      </c>
      <c r="C79" s="2" t="s">
        <v>8</v>
      </c>
      <c r="D79" s="2">
        <f t="shared" si="2"/>
        <v>1</v>
      </c>
      <c r="E79" s="2">
        <v>35.1</v>
      </c>
      <c r="F79" s="2">
        <v>19.4</v>
      </c>
      <c r="G79" s="2">
        <v>193.0</v>
      </c>
      <c r="H79" s="2">
        <v>4200.0</v>
      </c>
      <c r="I79" s="2" t="s">
        <v>9</v>
      </c>
      <c r="J79" s="2">
        <f t="shared" si="3"/>
        <v>1</v>
      </c>
    </row>
    <row r="80" ht="15.75" customHeight="1">
      <c r="A80" s="1" t="s">
        <v>7</v>
      </c>
      <c r="B80" s="1">
        <f t="shared" si="1"/>
        <v>1</v>
      </c>
      <c r="C80" s="2" t="s">
        <v>13</v>
      </c>
      <c r="D80" s="2">
        <f t="shared" si="2"/>
        <v>3</v>
      </c>
      <c r="E80" s="2">
        <v>37.3</v>
      </c>
      <c r="F80" s="2">
        <v>17.8</v>
      </c>
      <c r="G80" s="2">
        <v>191.0</v>
      </c>
      <c r="H80" s="2">
        <v>3350.0</v>
      </c>
      <c r="I80" s="2" t="s">
        <v>10</v>
      </c>
      <c r="J80" s="2">
        <f t="shared" si="3"/>
        <v>0</v>
      </c>
    </row>
    <row r="81" ht="15.75" customHeight="1">
      <c r="A81" s="1" t="s">
        <v>7</v>
      </c>
      <c r="B81" s="1">
        <f t="shared" si="1"/>
        <v>1</v>
      </c>
      <c r="C81" s="2" t="s">
        <v>13</v>
      </c>
      <c r="D81" s="2">
        <f t="shared" si="2"/>
        <v>3</v>
      </c>
      <c r="E81" s="2">
        <v>41.3</v>
      </c>
      <c r="F81" s="2">
        <v>20.3</v>
      </c>
      <c r="G81" s="2">
        <v>194.0</v>
      </c>
      <c r="H81" s="2">
        <v>3550.0</v>
      </c>
      <c r="I81" s="2" t="s">
        <v>9</v>
      </c>
      <c r="J81" s="2">
        <f t="shared" si="3"/>
        <v>1</v>
      </c>
    </row>
    <row r="82" ht="15.75" customHeight="1">
      <c r="A82" s="1" t="s">
        <v>7</v>
      </c>
      <c r="B82" s="1">
        <f t="shared" si="1"/>
        <v>1</v>
      </c>
      <c r="C82" s="2" t="s">
        <v>13</v>
      </c>
      <c r="D82" s="2">
        <f t="shared" si="2"/>
        <v>3</v>
      </c>
      <c r="E82" s="2">
        <v>36.3</v>
      </c>
      <c r="F82" s="2">
        <v>19.5</v>
      </c>
      <c r="G82" s="2">
        <v>190.0</v>
      </c>
      <c r="H82" s="2">
        <v>3800.0</v>
      </c>
      <c r="I82" s="2" t="s">
        <v>9</v>
      </c>
      <c r="J82" s="2">
        <f t="shared" si="3"/>
        <v>1</v>
      </c>
    </row>
    <row r="83" ht="15.75" customHeight="1">
      <c r="A83" s="1" t="s">
        <v>7</v>
      </c>
      <c r="B83" s="1">
        <f t="shared" si="1"/>
        <v>1</v>
      </c>
      <c r="C83" s="2" t="s">
        <v>13</v>
      </c>
      <c r="D83" s="2">
        <f t="shared" si="2"/>
        <v>3</v>
      </c>
      <c r="E83" s="2">
        <v>36.9</v>
      </c>
      <c r="F83" s="2">
        <v>18.6</v>
      </c>
      <c r="G83" s="2">
        <v>189.0</v>
      </c>
      <c r="H83" s="2">
        <v>3500.0</v>
      </c>
      <c r="I83" s="2" t="s">
        <v>10</v>
      </c>
      <c r="J83" s="2">
        <f t="shared" si="3"/>
        <v>0</v>
      </c>
    </row>
    <row r="84" ht="15.75" customHeight="1">
      <c r="A84" s="1" t="s">
        <v>7</v>
      </c>
      <c r="B84" s="1">
        <f t="shared" si="1"/>
        <v>1</v>
      </c>
      <c r="C84" s="2" t="s">
        <v>13</v>
      </c>
      <c r="D84" s="2">
        <f t="shared" si="2"/>
        <v>3</v>
      </c>
      <c r="E84" s="2">
        <v>38.3</v>
      </c>
      <c r="F84" s="2">
        <v>19.2</v>
      </c>
      <c r="G84" s="2">
        <v>189.0</v>
      </c>
      <c r="H84" s="2">
        <v>3950.0</v>
      </c>
      <c r="I84" s="2" t="s">
        <v>9</v>
      </c>
      <c r="J84" s="2">
        <f t="shared" si="3"/>
        <v>1</v>
      </c>
    </row>
    <row r="85" ht="15.75" customHeight="1">
      <c r="A85" s="1" t="s">
        <v>7</v>
      </c>
      <c r="B85" s="1">
        <f t="shared" si="1"/>
        <v>1</v>
      </c>
      <c r="C85" s="2" t="s">
        <v>13</v>
      </c>
      <c r="D85" s="2">
        <f t="shared" si="2"/>
        <v>3</v>
      </c>
      <c r="E85" s="2">
        <v>38.9</v>
      </c>
      <c r="F85" s="2">
        <v>18.8</v>
      </c>
      <c r="G85" s="2">
        <v>190.0</v>
      </c>
      <c r="H85" s="2">
        <v>3600.0</v>
      </c>
      <c r="I85" s="2" t="s">
        <v>10</v>
      </c>
      <c r="J85" s="2">
        <f t="shared" si="3"/>
        <v>0</v>
      </c>
    </row>
    <row r="86" ht="15.75" customHeight="1">
      <c r="A86" s="1" t="s">
        <v>7</v>
      </c>
      <c r="B86" s="1">
        <f t="shared" si="1"/>
        <v>1</v>
      </c>
      <c r="C86" s="2" t="s">
        <v>13</v>
      </c>
      <c r="D86" s="2">
        <f t="shared" si="2"/>
        <v>3</v>
      </c>
      <c r="E86" s="2">
        <v>35.7</v>
      </c>
      <c r="F86" s="2">
        <v>18.0</v>
      </c>
      <c r="G86" s="2">
        <v>202.0</v>
      </c>
      <c r="H86" s="2">
        <v>3550.0</v>
      </c>
      <c r="I86" s="2" t="s">
        <v>10</v>
      </c>
      <c r="J86" s="2">
        <f t="shared" si="3"/>
        <v>0</v>
      </c>
    </row>
    <row r="87" ht="15.75" customHeight="1">
      <c r="A87" s="1" t="s">
        <v>7</v>
      </c>
      <c r="B87" s="1">
        <f t="shared" si="1"/>
        <v>1</v>
      </c>
      <c r="C87" s="2" t="s">
        <v>13</v>
      </c>
      <c r="D87" s="2">
        <f t="shared" si="2"/>
        <v>3</v>
      </c>
      <c r="E87" s="2">
        <v>41.1</v>
      </c>
      <c r="F87" s="2">
        <v>18.1</v>
      </c>
      <c r="G87" s="2">
        <v>205.0</v>
      </c>
      <c r="H87" s="2">
        <v>4300.0</v>
      </c>
      <c r="I87" s="2" t="s">
        <v>9</v>
      </c>
      <c r="J87" s="2">
        <f t="shared" si="3"/>
        <v>1</v>
      </c>
    </row>
    <row r="88" ht="15.75" customHeight="1">
      <c r="A88" s="1" t="s">
        <v>7</v>
      </c>
      <c r="B88" s="1">
        <f t="shared" si="1"/>
        <v>1</v>
      </c>
      <c r="C88" s="2" t="s">
        <v>13</v>
      </c>
      <c r="D88" s="2">
        <f t="shared" si="2"/>
        <v>3</v>
      </c>
      <c r="E88" s="2">
        <v>34.0</v>
      </c>
      <c r="F88" s="2">
        <v>17.1</v>
      </c>
      <c r="G88" s="2">
        <v>185.0</v>
      </c>
      <c r="H88" s="2">
        <v>3400.0</v>
      </c>
      <c r="I88" s="2" t="s">
        <v>10</v>
      </c>
      <c r="J88" s="2">
        <f t="shared" si="3"/>
        <v>0</v>
      </c>
    </row>
    <row r="89" ht="15.75" customHeight="1">
      <c r="A89" s="1" t="s">
        <v>7</v>
      </c>
      <c r="B89" s="1">
        <f t="shared" si="1"/>
        <v>1</v>
      </c>
      <c r="C89" s="2" t="s">
        <v>13</v>
      </c>
      <c r="D89" s="2">
        <f t="shared" si="2"/>
        <v>3</v>
      </c>
      <c r="E89" s="2">
        <v>39.6</v>
      </c>
      <c r="F89" s="2">
        <v>18.1</v>
      </c>
      <c r="G89" s="2">
        <v>186.0</v>
      </c>
      <c r="H89" s="2">
        <v>4450.0</v>
      </c>
      <c r="I89" s="2" t="s">
        <v>9</v>
      </c>
      <c r="J89" s="2">
        <f t="shared" si="3"/>
        <v>1</v>
      </c>
    </row>
    <row r="90" ht="15.75" customHeight="1">
      <c r="A90" s="1" t="s">
        <v>7</v>
      </c>
      <c r="B90" s="1">
        <f t="shared" si="1"/>
        <v>1</v>
      </c>
      <c r="C90" s="2" t="s">
        <v>13</v>
      </c>
      <c r="D90" s="2">
        <f t="shared" si="2"/>
        <v>3</v>
      </c>
      <c r="E90" s="2">
        <v>36.2</v>
      </c>
      <c r="F90" s="2">
        <v>17.3</v>
      </c>
      <c r="G90" s="2">
        <v>187.0</v>
      </c>
      <c r="H90" s="2">
        <v>3300.0</v>
      </c>
      <c r="I90" s="2" t="s">
        <v>10</v>
      </c>
      <c r="J90" s="2">
        <f t="shared" si="3"/>
        <v>0</v>
      </c>
    </row>
    <row r="91" ht="15.75" customHeight="1">
      <c r="A91" s="1" t="s">
        <v>7</v>
      </c>
      <c r="B91" s="1">
        <f t="shared" si="1"/>
        <v>1</v>
      </c>
      <c r="C91" s="2" t="s">
        <v>13</v>
      </c>
      <c r="D91" s="2">
        <f t="shared" si="2"/>
        <v>3</v>
      </c>
      <c r="E91" s="2">
        <v>40.8</v>
      </c>
      <c r="F91" s="2">
        <v>18.9</v>
      </c>
      <c r="G91" s="2">
        <v>208.0</v>
      </c>
      <c r="H91" s="2">
        <v>4300.0</v>
      </c>
      <c r="I91" s="2" t="s">
        <v>9</v>
      </c>
      <c r="J91" s="2">
        <f t="shared" si="3"/>
        <v>1</v>
      </c>
    </row>
    <row r="92" ht="15.75" customHeight="1">
      <c r="A92" s="1" t="s">
        <v>7</v>
      </c>
      <c r="B92" s="1">
        <f t="shared" si="1"/>
        <v>1</v>
      </c>
      <c r="C92" s="2" t="s">
        <v>13</v>
      </c>
      <c r="D92" s="2">
        <f t="shared" si="2"/>
        <v>3</v>
      </c>
      <c r="E92" s="2">
        <v>38.1</v>
      </c>
      <c r="F92" s="2">
        <v>18.6</v>
      </c>
      <c r="G92" s="2">
        <v>190.0</v>
      </c>
      <c r="H92" s="2">
        <v>3700.0</v>
      </c>
      <c r="I92" s="2" t="s">
        <v>10</v>
      </c>
      <c r="J92" s="2">
        <f t="shared" si="3"/>
        <v>0</v>
      </c>
    </row>
    <row r="93" ht="15.75" customHeight="1">
      <c r="A93" s="1" t="s">
        <v>7</v>
      </c>
      <c r="B93" s="1">
        <f t="shared" si="1"/>
        <v>1</v>
      </c>
      <c r="C93" s="2" t="s">
        <v>13</v>
      </c>
      <c r="D93" s="2">
        <f t="shared" si="2"/>
        <v>3</v>
      </c>
      <c r="E93" s="2">
        <v>40.3</v>
      </c>
      <c r="F93" s="2">
        <v>18.5</v>
      </c>
      <c r="G93" s="2">
        <v>196.0</v>
      </c>
      <c r="H93" s="2">
        <v>4350.0</v>
      </c>
      <c r="I93" s="2" t="s">
        <v>9</v>
      </c>
      <c r="J93" s="2">
        <f t="shared" si="3"/>
        <v>1</v>
      </c>
    </row>
    <row r="94" ht="15.75" customHeight="1">
      <c r="A94" s="1" t="s">
        <v>7</v>
      </c>
      <c r="B94" s="1">
        <f t="shared" si="1"/>
        <v>1</v>
      </c>
      <c r="C94" s="2" t="s">
        <v>13</v>
      </c>
      <c r="D94" s="2">
        <f t="shared" si="2"/>
        <v>3</v>
      </c>
      <c r="E94" s="2">
        <v>33.1</v>
      </c>
      <c r="F94" s="2">
        <v>16.1</v>
      </c>
      <c r="G94" s="2">
        <v>178.0</v>
      </c>
      <c r="H94" s="2">
        <v>2900.0</v>
      </c>
      <c r="I94" s="2" t="s">
        <v>10</v>
      </c>
      <c r="J94" s="2">
        <f t="shared" si="3"/>
        <v>0</v>
      </c>
    </row>
    <row r="95" ht="15.75" customHeight="1">
      <c r="A95" s="1" t="s">
        <v>7</v>
      </c>
      <c r="B95" s="1">
        <f t="shared" si="1"/>
        <v>1</v>
      </c>
      <c r="C95" s="2" t="s">
        <v>13</v>
      </c>
      <c r="D95" s="2">
        <f t="shared" si="2"/>
        <v>3</v>
      </c>
      <c r="E95" s="2">
        <v>43.2</v>
      </c>
      <c r="F95" s="2">
        <v>18.5</v>
      </c>
      <c r="G95" s="2">
        <v>192.0</v>
      </c>
      <c r="H95" s="2">
        <v>4100.0</v>
      </c>
      <c r="I95" s="2" t="s">
        <v>9</v>
      </c>
      <c r="J95" s="2">
        <f t="shared" si="3"/>
        <v>1</v>
      </c>
    </row>
    <row r="96" ht="15.75" customHeight="1">
      <c r="A96" s="1" t="s">
        <v>7</v>
      </c>
      <c r="B96" s="1">
        <f t="shared" si="1"/>
        <v>1</v>
      </c>
      <c r="C96" s="2" t="s">
        <v>12</v>
      </c>
      <c r="D96" s="2">
        <f t="shared" si="2"/>
        <v>2</v>
      </c>
      <c r="E96" s="2">
        <v>35.0</v>
      </c>
      <c r="F96" s="2">
        <v>17.9</v>
      </c>
      <c r="G96" s="2">
        <v>192.0</v>
      </c>
      <c r="H96" s="2">
        <v>3725.0</v>
      </c>
      <c r="I96" s="2" t="s">
        <v>10</v>
      </c>
      <c r="J96" s="2">
        <f t="shared" si="3"/>
        <v>0</v>
      </c>
    </row>
    <row r="97" ht="15.75" customHeight="1">
      <c r="A97" s="1" t="s">
        <v>7</v>
      </c>
      <c r="B97" s="1">
        <f t="shared" si="1"/>
        <v>1</v>
      </c>
      <c r="C97" s="2" t="s">
        <v>12</v>
      </c>
      <c r="D97" s="2">
        <f t="shared" si="2"/>
        <v>2</v>
      </c>
      <c r="E97" s="2">
        <v>41.0</v>
      </c>
      <c r="F97" s="2">
        <v>20.0</v>
      </c>
      <c r="G97" s="2">
        <v>203.0</v>
      </c>
      <c r="H97" s="2">
        <v>4725.0</v>
      </c>
      <c r="I97" s="2" t="s">
        <v>9</v>
      </c>
      <c r="J97" s="2">
        <f t="shared" si="3"/>
        <v>1</v>
      </c>
    </row>
    <row r="98" ht="15.75" customHeight="1">
      <c r="A98" s="1" t="s">
        <v>7</v>
      </c>
      <c r="B98" s="1">
        <f t="shared" si="1"/>
        <v>1</v>
      </c>
      <c r="C98" s="2" t="s">
        <v>12</v>
      </c>
      <c r="D98" s="2">
        <f t="shared" si="2"/>
        <v>2</v>
      </c>
      <c r="E98" s="2">
        <v>37.7</v>
      </c>
      <c r="F98" s="2">
        <v>16.0</v>
      </c>
      <c r="G98" s="2">
        <v>183.0</v>
      </c>
      <c r="H98" s="2">
        <v>3075.0</v>
      </c>
      <c r="I98" s="2" t="s">
        <v>10</v>
      </c>
      <c r="J98" s="2">
        <f t="shared" si="3"/>
        <v>0</v>
      </c>
    </row>
    <row r="99" ht="15.75" customHeight="1">
      <c r="A99" s="1" t="s">
        <v>7</v>
      </c>
      <c r="B99" s="1">
        <f t="shared" si="1"/>
        <v>1</v>
      </c>
      <c r="C99" s="2" t="s">
        <v>12</v>
      </c>
      <c r="D99" s="2">
        <f t="shared" si="2"/>
        <v>2</v>
      </c>
      <c r="E99" s="2">
        <v>37.8</v>
      </c>
      <c r="F99" s="2">
        <v>20.0</v>
      </c>
      <c r="G99" s="2">
        <v>190.0</v>
      </c>
      <c r="H99" s="2">
        <v>4250.0</v>
      </c>
      <c r="I99" s="2" t="s">
        <v>9</v>
      </c>
      <c r="J99" s="2">
        <f t="shared" si="3"/>
        <v>1</v>
      </c>
    </row>
    <row r="100" ht="15.75" customHeight="1">
      <c r="A100" s="1" t="s">
        <v>7</v>
      </c>
      <c r="B100" s="1">
        <f t="shared" si="1"/>
        <v>1</v>
      </c>
      <c r="C100" s="2" t="s">
        <v>12</v>
      </c>
      <c r="D100" s="2">
        <f t="shared" si="2"/>
        <v>2</v>
      </c>
      <c r="E100" s="2">
        <v>37.9</v>
      </c>
      <c r="F100" s="2">
        <v>18.6</v>
      </c>
      <c r="G100" s="2">
        <v>193.0</v>
      </c>
      <c r="H100" s="2">
        <v>2925.0</v>
      </c>
      <c r="I100" s="2" t="s">
        <v>10</v>
      </c>
      <c r="J100" s="2">
        <f t="shared" si="3"/>
        <v>0</v>
      </c>
    </row>
    <row r="101" ht="15.75" customHeight="1">
      <c r="A101" s="1" t="s">
        <v>7</v>
      </c>
      <c r="B101" s="1">
        <f t="shared" si="1"/>
        <v>1</v>
      </c>
      <c r="C101" s="2" t="s">
        <v>12</v>
      </c>
      <c r="D101" s="2">
        <f t="shared" si="2"/>
        <v>2</v>
      </c>
      <c r="E101" s="2">
        <v>39.7</v>
      </c>
      <c r="F101" s="2">
        <v>18.9</v>
      </c>
      <c r="G101" s="2">
        <v>184.0</v>
      </c>
      <c r="H101" s="2">
        <v>3550.0</v>
      </c>
      <c r="I101" s="2" t="s">
        <v>9</v>
      </c>
      <c r="J101" s="2">
        <f t="shared" si="3"/>
        <v>1</v>
      </c>
    </row>
    <row r="102" ht="15.75" customHeight="1">
      <c r="A102" s="1" t="s">
        <v>7</v>
      </c>
      <c r="B102" s="1">
        <f t="shared" si="1"/>
        <v>1</v>
      </c>
      <c r="C102" s="2" t="s">
        <v>12</v>
      </c>
      <c r="D102" s="2">
        <f t="shared" si="2"/>
        <v>2</v>
      </c>
      <c r="E102" s="2">
        <v>38.6</v>
      </c>
      <c r="F102" s="2">
        <v>17.2</v>
      </c>
      <c r="G102" s="2">
        <v>199.0</v>
      </c>
      <c r="H102" s="2">
        <v>3750.0</v>
      </c>
      <c r="I102" s="2" t="s">
        <v>10</v>
      </c>
      <c r="J102" s="2">
        <f t="shared" si="3"/>
        <v>0</v>
      </c>
    </row>
    <row r="103" ht="15.75" customHeight="1">
      <c r="A103" s="1" t="s">
        <v>7</v>
      </c>
      <c r="B103" s="1">
        <f t="shared" si="1"/>
        <v>1</v>
      </c>
      <c r="C103" s="2" t="s">
        <v>12</v>
      </c>
      <c r="D103" s="2">
        <f t="shared" si="2"/>
        <v>2</v>
      </c>
      <c r="E103" s="2">
        <v>38.2</v>
      </c>
      <c r="F103" s="2">
        <v>20.0</v>
      </c>
      <c r="G103" s="2">
        <v>190.0</v>
      </c>
      <c r="H103" s="2">
        <v>3900.0</v>
      </c>
      <c r="I103" s="2" t="s">
        <v>9</v>
      </c>
      <c r="J103" s="2">
        <f t="shared" si="3"/>
        <v>1</v>
      </c>
    </row>
    <row r="104" ht="15.75" customHeight="1">
      <c r="A104" s="1" t="s">
        <v>7</v>
      </c>
      <c r="B104" s="1">
        <f t="shared" si="1"/>
        <v>1</v>
      </c>
      <c r="C104" s="2" t="s">
        <v>12</v>
      </c>
      <c r="D104" s="2">
        <f t="shared" si="2"/>
        <v>2</v>
      </c>
      <c r="E104" s="2">
        <v>38.1</v>
      </c>
      <c r="F104" s="2">
        <v>17.0</v>
      </c>
      <c r="G104" s="2">
        <v>181.0</v>
      </c>
      <c r="H104" s="2">
        <v>3175.0</v>
      </c>
      <c r="I104" s="2" t="s">
        <v>10</v>
      </c>
      <c r="J104" s="2">
        <f t="shared" si="3"/>
        <v>0</v>
      </c>
    </row>
    <row r="105" ht="15.75" customHeight="1">
      <c r="A105" s="1" t="s">
        <v>7</v>
      </c>
      <c r="B105" s="1">
        <f t="shared" si="1"/>
        <v>1</v>
      </c>
      <c r="C105" s="2" t="s">
        <v>12</v>
      </c>
      <c r="D105" s="2">
        <f t="shared" si="2"/>
        <v>2</v>
      </c>
      <c r="E105" s="2">
        <v>43.2</v>
      </c>
      <c r="F105" s="2">
        <v>19.0</v>
      </c>
      <c r="G105" s="2">
        <v>197.0</v>
      </c>
      <c r="H105" s="2">
        <v>4775.0</v>
      </c>
      <c r="I105" s="2" t="s">
        <v>9</v>
      </c>
      <c r="J105" s="2">
        <f t="shared" si="3"/>
        <v>1</v>
      </c>
    </row>
    <row r="106" ht="15.75" customHeight="1">
      <c r="A106" s="1" t="s">
        <v>7</v>
      </c>
      <c r="B106" s="1">
        <f t="shared" si="1"/>
        <v>1</v>
      </c>
      <c r="C106" s="2" t="s">
        <v>12</v>
      </c>
      <c r="D106" s="2">
        <f t="shared" si="2"/>
        <v>2</v>
      </c>
      <c r="E106" s="2">
        <v>38.1</v>
      </c>
      <c r="F106" s="2">
        <v>16.5</v>
      </c>
      <c r="G106" s="2">
        <v>198.0</v>
      </c>
      <c r="H106" s="2">
        <v>3825.0</v>
      </c>
      <c r="I106" s="2" t="s">
        <v>10</v>
      </c>
      <c r="J106" s="2">
        <f t="shared" si="3"/>
        <v>0</v>
      </c>
    </row>
    <row r="107" ht="15.75" customHeight="1">
      <c r="A107" s="1" t="s">
        <v>7</v>
      </c>
      <c r="B107" s="1">
        <f t="shared" si="1"/>
        <v>1</v>
      </c>
      <c r="C107" s="2" t="s">
        <v>12</v>
      </c>
      <c r="D107" s="2">
        <f t="shared" si="2"/>
        <v>2</v>
      </c>
      <c r="E107" s="2">
        <v>45.6</v>
      </c>
      <c r="F107" s="2">
        <v>20.3</v>
      </c>
      <c r="G107" s="2">
        <v>191.0</v>
      </c>
      <c r="H107" s="2">
        <v>4600.0</v>
      </c>
      <c r="I107" s="2" t="s">
        <v>9</v>
      </c>
      <c r="J107" s="2">
        <f t="shared" si="3"/>
        <v>1</v>
      </c>
    </row>
    <row r="108" ht="15.75" customHeight="1">
      <c r="A108" s="1" t="s">
        <v>7</v>
      </c>
      <c r="B108" s="1">
        <f t="shared" si="1"/>
        <v>1</v>
      </c>
      <c r="C108" s="2" t="s">
        <v>12</v>
      </c>
      <c r="D108" s="2">
        <f t="shared" si="2"/>
        <v>2</v>
      </c>
      <c r="E108" s="2">
        <v>39.7</v>
      </c>
      <c r="F108" s="2">
        <v>17.7</v>
      </c>
      <c r="G108" s="2">
        <v>193.0</v>
      </c>
      <c r="H108" s="2">
        <v>3200.0</v>
      </c>
      <c r="I108" s="2" t="s">
        <v>10</v>
      </c>
      <c r="J108" s="2">
        <f t="shared" si="3"/>
        <v>0</v>
      </c>
    </row>
    <row r="109" ht="15.75" customHeight="1">
      <c r="A109" s="1" t="s">
        <v>7</v>
      </c>
      <c r="B109" s="1">
        <f t="shared" si="1"/>
        <v>1</v>
      </c>
      <c r="C109" s="2" t="s">
        <v>12</v>
      </c>
      <c r="D109" s="2">
        <f t="shared" si="2"/>
        <v>2</v>
      </c>
      <c r="E109" s="2">
        <v>42.2</v>
      </c>
      <c r="F109" s="2">
        <v>19.5</v>
      </c>
      <c r="G109" s="2">
        <v>197.0</v>
      </c>
      <c r="H109" s="2">
        <v>4275.0</v>
      </c>
      <c r="I109" s="2" t="s">
        <v>9</v>
      </c>
      <c r="J109" s="2">
        <f t="shared" si="3"/>
        <v>1</v>
      </c>
    </row>
    <row r="110" ht="15.75" customHeight="1">
      <c r="A110" s="1" t="s">
        <v>7</v>
      </c>
      <c r="B110" s="1">
        <f t="shared" si="1"/>
        <v>1</v>
      </c>
      <c r="C110" s="2" t="s">
        <v>12</v>
      </c>
      <c r="D110" s="2">
        <f t="shared" si="2"/>
        <v>2</v>
      </c>
      <c r="E110" s="2">
        <v>39.6</v>
      </c>
      <c r="F110" s="2">
        <v>20.7</v>
      </c>
      <c r="G110" s="2">
        <v>191.0</v>
      </c>
      <c r="H110" s="2">
        <v>3900.0</v>
      </c>
      <c r="I110" s="2" t="s">
        <v>10</v>
      </c>
      <c r="J110" s="2">
        <f t="shared" si="3"/>
        <v>0</v>
      </c>
    </row>
    <row r="111" ht="15.75" customHeight="1">
      <c r="A111" s="1" t="s">
        <v>7</v>
      </c>
      <c r="B111" s="1">
        <f t="shared" si="1"/>
        <v>1</v>
      </c>
      <c r="C111" s="2" t="s">
        <v>12</v>
      </c>
      <c r="D111" s="2">
        <f t="shared" si="2"/>
        <v>2</v>
      </c>
      <c r="E111" s="2">
        <v>42.7</v>
      </c>
      <c r="F111" s="2">
        <v>18.3</v>
      </c>
      <c r="G111" s="2">
        <v>196.0</v>
      </c>
      <c r="H111" s="2">
        <v>4075.0</v>
      </c>
      <c r="I111" s="2" t="s">
        <v>9</v>
      </c>
      <c r="J111" s="2">
        <f t="shared" si="3"/>
        <v>1</v>
      </c>
    </row>
    <row r="112" ht="15.75" customHeight="1">
      <c r="A112" s="1" t="s">
        <v>7</v>
      </c>
      <c r="B112" s="1">
        <f t="shared" si="1"/>
        <v>1</v>
      </c>
      <c r="C112" s="2" t="s">
        <v>8</v>
      </c>
      <c r="D112" s="2">
        <f t="shared" si="2"/>
        <v>1</v>
      </c>
      <c r="E112" s="2">
        <v>38.6</v>
      </c>
      <c r="F112" s="2">
        <v>17.0</v>
      </c>
      <c r="G112" s="2">
        <v>188.0</v>
      </c>
      <c r="H112" s="2">
        <v>2900.0</v>
      </c>
      <c r="I112" s="2" t="s">
        <v>10</v>
      </c>
      <c r="J112" s="2">
        <f t="shared" si="3"/>
        <v>0</v>
      </c>
    </row>
    <row r="113" ht="15.75" customHeight="1">
      <c r="A113" s="1" t="s">
        <v>7</v>
      </c>
      <c r="B113" s="1">
        <f t="shared" si="1"/>
        <v>1</v>
      </c>
      <c r="C113" s="2" t="s">
        <v>8</v>
      </c>
      <c r="D113" s="2">
        <f t="shared" si="2"/>
        <v>1</v>
      </c>
      <c r="E113" s="2">
        <v>37.3</v>
      </c>
      <c r="F113" s="2">
        <v>20.5</v>
      </c>
      <c r="G113" s="2">
        <v>199.0</v>
      </c>
      <c r="H113" s="2">
        <v>3775.0</v>
      </c>
      <c r="I113" s="2" t="s">
        <v>9</v>
      </c>
      <c r="J113" s="2">
        <f t="shared" si="3"/>
        <v>1</v>
      </c>
    </row>
    <row r="114" ht="15.75" customHeight="1">
      <c r="A114" s="1" t="s">
        <v>7</v>
      </c>
      <c r="B114" s="1">
        <f t="shared" si="1"/>
        <v>1</v>
      </c>
      <c r="C114" s="2" t="s">
        <v>8</v>
      </c>
      <c r="D114" s="2">
        <f t="shared" si="2"/>
        <v>1</v>
      </c>
      <c r="E114" s="2">
        <v>35.7</v>
      </c>
      <c r="F114" s="2">
        <v>17.0</v>
      </c>
      <c r="G114" s="2">
        <v>189.0</v>
      </c>
      <c r="H114" s="2">
        <v>3350.0</v>
      </c>
      <c r="I114" s="2" t="s">
        <v>10</v>
      </c>
      <c r="J114" s="2">
        <f t="shared" si="3"/>
        <v>0</v>
      </c>
    </row>
    <row r="115" ht="15.75" customHeight="1">
      <c r="A115" s="1" t="s">
        <v>7</v>
      </c>
      <c r="B115" s="1">
        <f t="shared" si="1"/>
        <v>1</v>
      </c>
      <c r="C115" s="2" t="s">
        <v>8</v>
      </c>
      <c r="D115" s="2">
        <f t="shared" si="2"/>
        <v>1</v>
      </c>
      <c r="E115" s="2">
        <v>41.1</v>
      </c>
      <c r="F115" s="2">
        <v>18.6</v>
      </c>
      <c r="G115" s="2">
        <v>189.0</v>
      </c>
      <c r="H115" s="2">
        <v>3325.0</v>
      </c>
      <c r="I115" s="2" t="s">
        <v>9</v>
      </c>
      <c r="J115" s="2">
        <f t="shared" si="3"/>
        <v>1</v>
      </c>
    </row>
    <row r="116" ht="15.75" customHeight="1">
      <c r="A116" s="1" t="s">
        <v>7</v>
      </c>
      <c r="B116" s="1">
        <f t="shared" si="1"/>
        <v>1</v>
      </c>
      <c r="C116" s="2" t="s">
        <v>8</v>
      </c>
      <c r="D116" s="2">
        <f t="shared" si="2"/>
        <v>1</v>
      </c>
      <c r="E116" s="2">
        <v>36.2</v>
      </c>
      <c r="F116" s="2">
        <v>17.2</v>
      </c>
      <c r="G116" s="2">
        <v>187.0</v>
      </c>
      <c r="H116" s="2">
        <v>3150.0</v>
      </c>
      <c r="I116" s="2" t="s">
        <v>10</v>
      </c>
      <c r="J116" s="2">
        <f t="shared" si="3"/>
        <v>0</v>
      </c>
    </row>
    <row r="117" ht="15.75" customHeight="1">
      <c r="A117" s="1" t="s">
        <v>7</v>
      </c>
      <c r="B117" s="1">
        <f t="shared" si="1"/>
        <v>1</v>
      </c>
      <c r="C117" s="2" t="s">
        <v>8</v>
      </c>
      <c r="D117" s="2">
        <f t="shared" si="2"/>
        <v>1</v>
      </c>
      <c r="E117" s="2">
        <v>37.7</v>
      </c>
      <c r="F117" s="2">
        <v>19.8</v>
      </c>
      <c r="G117" s="2">
        <v>198.0</v>
      </c>
      <c r="H117" s="2">
        <v>3500.0</v>
      </c>
      <c r="I117" s="2" t="s">
        <v>9</v>
      </c>
      <c r="J117" s="2">
        <f t="shared" si="3"/>
        <v>1</v>
      </c>
    </row>
    <row r="118" ht="15.75" customHeight="1">
      <c r="A118" s="1" t="s">
        <v>7</v>
      </c>
      <c r="B118" s="1">
        <f t="shared" si="1"/>
        <v>1</v>
      </c>
      <c r="C118" s="2" t="s">
        <v>8</v>
      </c>
      <c r="D118" s="2">
        <f t="shared" si="2"/>
        <v>1</v>
      </c>
      <c r="E118" s="2">
        <v>40.2</v>
      </c>
      <c r="F118" s="2">
        <v>17.0</v>
      </c>
      <c r="G118" s="2">
        <v>176.0</v>
      </c>
      <c r="H118" s="2">
        <v>3450.0</v>
      </c>
      <c r="I118" s="2" t="s">
        <v>10</v>
      </c>
      <c r="J118" s="2">
        <f t="shared" si="3"/>
        <v>0</v>
      </c>
    </row>
    <row r="119" ht="15.75" customHeight="1">
      <c r="A119" s="1" t="s">
        <v>7</v>
      </c>
      <c r="B119" s="1">
        <f t="shared" si="1"/>
        <v>1</v>
      </c>
      <c r="C119" s="2" t="s">
        <v>8</v>
      </c>
      <c r="D119" s="2">
        <f t="shared" si="2"/>
        <v>1</v>
      </c>
      <c r="E119" s="2">
        <v>41.4</v>
      </c>
      <c r="F119" s="2">
        <v>18.5</v>
      </c>
      <c r="G119" s="2">
        <v>202.0</v>
      </c>
      <c r="H119" s="2">
        <v>3875.0</v>
      </c>
      <c r="I119" s="2" t="s">
        <v>9</v>
      </c>
      <c r="J119" s="2">
        <f t="shared" si="3"/>
        <v>1</v>
      </c>
    </row>
    <row r="120" ht="15.75" customHeight="1">
      <c r="A120" s="1" t="s">
        <v>7</v>
      </c>
      <c r="B120" s="1">
        <f t="shared" si="1"/>
        <v>1</v>
      </c>
      <c r="C120" s="2" t="s">
        <v>8</v>
      </c>
      <c r="D120" s="2">
        <f t="shared" si="2"/>
        <v>1</v>
      </c>
      <c r="E120" s="2">
        <v>35.2</v>
      </c>
      <c r="F120" s="2">
        <v>15.9</v>
      </c>
      <c r="G120" s="2">
        <v>186.0</v>
      </c>
      <c r="H120" s="2">
        <v>3050.0</v>
      </c>
      <c r="I120" s="2" t="s">
        <v>10</v>
      </c>
      <c r="J120" s="2">
        <f t="shared" si="3"/>
        <v>0</v>
      </c>
    </row>
    <row r="121" ht="15.75" customHeight="1">
      <c r="A121" s="1" t="s">
        <v>7</v>
      </c>
      <c r="B121" s="1">
        <f t="shared" si="1"/>
        <v>1</v>
      </c>
      <c r="C121" s="2" t="s">
        <v>8</v>
      </c>
      <c r="D121" s="2">
        <f t="shared" si="2"/>
        <v>1</v>
      </c>
      <c r="E121" s="2">
        <v>40.6</v>
      </c>
      <c r="F121" s="2">
        <v>19.0</v>
      </c>
      <c r="G121" s="2">
        <v>199.0</v>
      </c>
      <c r="H121" s="2">
        <v>4000.0</v>
      </c>
      <c r="I121" s="2" t="s">
        <v>9</v>
      </c>
      <c r="J121" s="2">
        <f t="shared" si="3"/>
        <v>1</v>
      </c>
    </row>
    <row r="122" ht="15.75" customHeight="1">
      <c r="A122" s="1" t="s">
        <v>7</v>
      </c>
      <c r="B122" s="1">
        <f t="shared" si="1"/>
        <v>1</v>
      </c>
      <c r="C122" s="2" t="s">
        <v>8</v>
      </c>
      <c r="D122" s="2">
        <f t="shared" si="2"/>
        <v>1</v>
      </c>
      <c r="E122" s="2">
        <v>38.8</v>
      </c>
      <c r="F122" s="2">
        <v>17.6</v>
      </c>
      <c r="G122" s="2">
        <v>191.0</v>
      </c>
      <c r="H122" s="2">
        <v>3275.0</v>
      </c>
      <c r="I122" s="2" t="s">
        <v>10</v>
      </c>
      <c r="J122" s="2">
        <f t="shared" si="3"/>
        <v>0</v>
      </c>
    </row>
    <row r="123" ht="15.75" customHeight="1">
      <c r="A123" s="1" t="s">
        <v>7</v>
      </c>
      <c r="B123" s="1">
        <f t="shared" si="1"/>
        <v>1</v>
      </c>
      <c r="C123" s="2" t="s">
        <v>8</v>
      </c>
      <c r="D123" s="2">
        <f t="shared" si="2"/>
        <v>1</v>
      </c>
      <c r="E123" s="2">
        <v>41.5</v>
      </c>
      <c r="F123" s="2">
        <v>18.3</v>
      </c>
      <c r="G123" s="2">
        <v>195.0</v>
      </c>
      <c r="H123" s="2">
        <v>4300.0</v>
      </c>
      <c r="I123" s="2" t="s">
        <v>9</v>
      </c>
      <c r="J123" s="2">
        <f t="shared" si="3"/>
        <v>1</v>
      </c>
    </row>
    <row r="124" ht="15.75" customHeight="1">
      <c r="A124" s="1" t="s">
        <v>7</v>
      </c>
      <c r="B124" s="1">
        <f t="shared" si="1"/>
        <v>1</v>
      </c>
      <c r="C124" s="2" t="s">
        <v>8</v>
      </c>
      <c r="D124" s="2">
        <f t="shared" si="2"/>
        <v>1</v>
      </c>
      <c r="E124" s="2">
        <v>39.0</v>
      </c>
      <c r="F124" s="2">
        <v>17.1</v>
      </c>
      <c r="G124" s="2">
        <v>191.0</v>
      </c>
      <c r="H124" s="2">
        <v>3050.0</v>
      </c>
      <c r="I124" s="2" t="s">
        <v>10</v>
      </c>
      <c r="J124" s="2">
        <f t="shared" si="3"/>
        <v>0</v>
      </c>
    </row>
    <row r="125" ht="15.75" customHeight="1">
      <c r="A125" s="1" t="s">
        <v>7</v>
      </c>
      <c r="B125" s="1">
        <f t="shared" si="1"/>
        <v>1</v>
      </c>
      <c r="C125" s="2" t="s">
        <v>8</v>
      </c>
      <c r="D125" s="2">
        <f t="shared" si="2"/>
        <v>1</v>
      </c>
      <c r="E125" s="2">
        <v>44.1</v>
      </c>
      <c r="F125" s="2">
        <v>18.0</v>
      </c>
      <c r="G125" s="2">
        <v>210.0</v>
      </c>
      <c r="H125" s="2">
        <v>4000.0</v>
      </c>
      <c r="I125" s="2" t="s">
        <v>9</v>
      </c>
      <c r="J125" s="2">
        <f t="shared" si="3"/>
        <v>1</v>
      </c>
    </row>
    <row r="126" ht="15.75" customHeight="1">
      <c r="A126" s="1" t="s">
        <v>7</v>
      </c>
      <c r="B126" s="1">
        <f t="shared" si="1"/>
        <v>1</v>
      </c>
      <c r="C126" s="2" t="s">
        <v>8</v>
      </c>
      <c r="D126" s="2">
        <f t="shared" si="2"/>
        <v>1</v>
      </c>
      <c r="E126" s="2">
        <v>38.5</v>
      </c>
      <c r="F126" s="2">
        <v>17.9</v>
      </c>
      <c r="G126" s="2">
        <v>190.0</v>
      </c>
      <c r="H126" s="2">
        <v>3325.0</v>
      </c>
      <c r="I126" s="2" t="s">
        <v>10</v>
      </c>
      <c r="J126" s="2">
        <f t="shared" si="3"/>
        <v>0</v>
      </c>
    </row>
    <row r="127" ht="15.75" customHeight="1">
      <c r="A127" s="1" t="s">
        <v>7</v>
      </c>
      <c r="B127" s="1">
        <f t="shared" si="1"/>
        <v>1</v>
      </c>
      <c r="C127" s="2" t="s">
        <v>8</v>
      </c>
      <c r="D127" s="2">
        <f t="shared" si="2"/>
        <v>1</v>
      </c>
      <c r="E127" s="2">
        <v>43.1</v>
      </c>
      <c r="F127" s="2">
        <v>19.2</v>
      </c>
      <c r="G127" s="2">
        <v>197.0</v>
      </c>
      <c r="H127" s="2">
        <v>3500.0</v>
      </c>
      <c r="I127" s="2" t="s">
        <v>9</v>
      </c>
      <c r="J127" s="2">
        <f t="shared" si="3"/>
        <v>1</v>
      </c>
    </row>
    <row r="128" ht="15.75" customHeight="1">
      <c r="A128" s="1" t="s">
        <v>7</v>
      </c>
      <c r="B128" s="1">
        <f t="shared" si="1"/>
        <v>1</v>
      </c>
      <c r="C128" s="2" t="s">
        <v>13</v>
      </c>
      <c r="D128" s="2">
        <f t="shared" si="2"/>
        <v>3</v>
      </c>
      <c r="E128" s="2">
        <v>36.8</v>
      </c>
      <c r="F128" s="2">
        <v>18.5</v>
      </c>
      <c r="G128" s="2">
        <v>193.0</v>
      </c>
      <c r="H128" s="2">
        <v>3500.0</v>
      </c>
      <c r="I128" s="2" t="s">
        <v>10</v>
      </c>
      <c r="J128" s="2">
        <f t="shared" si="3"/>
        <v>0</v>
      </c>
    </row>
    <row r="129" ht="15.75" customHeight="1">
      <c r="A129" s="1" t="s">
        <v>7</v>
      </c>
      <c r="B129" s="1">
        <f t="shared" si="1"/>
        <v>1</v>
      </c>
      <c r="C129" s="2" t="s">
        <v>13</v>
      </c>
      <c r="D129" s="2">
        <f t="shared" si="2"/>
        <v>3</v>
      </c>
      <c r="E129" s="2">
        <v>37.5</v>
      </c>
      <c r="F129" s="2">
        <v>18.5</v>
      </c>
      <c r="G129" s="2">
        <v>199.0</v>
      </c>
      <c r="H129" s="2">
        <v>4475.0</v>
      </c>
      <c r="I129" s="2" t="s">
        <v>9</v>
      </c>
      <c r="J129" s="2">
        <f t="shared" si="3"/>
        <v>1</v>
      </c>
    </row>
    <row r="130" ht="15.75" customHeight="1">
      <c r="A130" s="1" t="s">
        <v>7</v>
      </c>
      <c r="B130" s="1">
        <f t="shared" si="1"/>
        <v>1</v>
      </c>
      <c r="C130" s="2" t="s">
        <v>13</v>
      </c>
      <c r="D130" s="2">
        <f t="shared" si="2"/>
        <v>3</v>
      </c>
      <c r="E130" s="2">
        <v>38.1</v>
      </c>
      <c r="F130" s="2">
        <v>17.6</v>
      </c>
      <c r="G130" s="2">
        <v>187.0</v>
      </c>
      <c r="H130" s="2">
        <v>3425.0</v>
      </c>
      <c r="I130" s="2" t="s">
        <v>10</v>
      </c>
      <c r="J130" s="2">
        <f t="shared" si="3"/>
        <v>0</v>
      </c>
    </row>
    <row r="131" ht="15.75" customHeight="1">
      <c r="A131" s="1" t="s">
        <v>7</v>
      </c>
      <c r="B131" s="1">
        <f t="shared" si="1"/>
        <v>1</v>
      </c>
      <c r="C131" s="2" t="s">
        <v>13</v>
      </c>
      <c r="D131" s="2">
        <f t="shared" si="2"/>
        <v>3</v>
      </c>
      <c r="E131" s="2">
        <v>41.1</v>
      </c>
      <c r="F131" s="2">
        <v>17.5</v>
      </c>
      <c r="G131" s="2">
        <v>190.0</v>
      </c>
      <c r="H131" s="2">
        <v>3900.0</v>
      </c>
      <c r="I131" s="2" t="s">
        <v>9</v>
      </c>
      <c r="J131" s="2">
        <f t="shared" si="3"/>
        <v>1</v>
      </c>
    </row>
    <row r="132" ht="15.75" customHeight="1">
      <c r="A132" s="1" t="s">
        <v>7</v>
      </c>
      <c r="B132" s="1">
        <f t="shared" si="1"/>
        <v>1</v>
      </c>
      <c r="C132" s="2" t="s">
        <v>13</v>
      </c>
      <c r="D132" s="2">
        <f t="shared" si="2"/>
        <v>3</v>
      </c>
      <c r="E132" s="2">
        <v>35.6</v>
      </c>
      <c r="F132" s="2">
        <v>17.5</v>
      </c>
      <c r="G132" s="2">
        <v>191.0</v>
      </c>
      <c r="H132" s="2">
        <v>3175.0</v>
      </c>
      <c r="I132" s="2" t="s">
        <v>10</v>
      </c>
      <c r="J132" s="2">
        <f t="shared" si="3"/>
        <v>0</v>
      </c>
    </row>
    <row r="133" ht="15.75" customHeight="1">
      <c r="A133" s="1" t="s">
        <v>7</v>
      </c>
      <c r="B133" s="1">
        <f t="shared" si="1"/>
        <v>1</v>
      </c>
      <c r="C133" s="2" t="s">
        <v>13</v>
      </c>
      <c r="D133" s="2">
        <f t="shared" si="2"/>
        <v>3</v>
      </c>
      <c r="E133" s="2">
        <v>40.2</v>
      </c>
      <c r="F133" s="2">
        <v>20.1</v>
      </c>
      <c r="G133" s="2">
        <v>200.0</v>
      </c>
      <c r="H133" s="2">
        <v>3975.0</v>
      </c>
      <c r="I133" s="2" t="s">
        <v>9</v>
      </c>
      <c r="J133" s="2">
        <f t="shared" si="3"/>
        <v>1</v>
      </c>
    </row>
    <row r="134" ht="15.75" customHeight="1">
      <c r="A134" s="1" t="s">
        <v>7</v>
      </c>
      <c r="B134" s="1">
        <f t="shared" si="1"/>
        <v>1</v>
      </c>
      <c r="C134" s="2" t="s">
        <v>13</v>
      </c>
      <c r="D134" s="2">
        <f t="shared" si="2"/>
        <v>3</v>
      </c>
      <c r="E134" s="2">
        <v>37.0</v>
      </c>
      <c r="F134" s="2">
        <v>16.5</v>
      </c>
      <c r="G134" s="2">
        <v>185.0</v>
      </c>
      <c r="H134" s="2">
        <v>3400.0</v>
      </c>
      <c r="I134" s="2" t="s">
        <v>10</v>
      </c>
      <c r="J134" s="2">
        <f t="shared" si="3"/>
        <v>0</v>
      </c>
    </row>
    <row r="135" ht="15.75" customHeight="1">
      <c r="A135" s="1" t="s">
        <v>7</v>
      </c>
      <c r="B135" s="1">
        <f t="shared" si="1"/>
        <v>1</v>
      </c>
      <c r="C135" s="2" t="s">
        <v>13</v>
      </c>
      <c r="D135" s="2">
        <f t="shared" si="2"/>
        <v>3</v>
      </c>
      <c r="E135" s="2">
        <v>39.7</v>
      </c>
      <c r="F135" s="2">
        <v>17.9</v>
      </c>
      <c r="G135" s="2">
        <v>193.0</v>
      </c>
      <c r="H135" s="2">
        <v>4250.0</v>
      </c>
      <c r="I135" s="2" t="s">
        <v>9</v>
      </c>
      <c r="J135" s="2">
        <f t="shared" si="3"/>
        <v>1</v>
      </c>
    </row>
    <row r="136" ht="15.75" customHeight="1">
      <c r="A136" s="1" t="s">
        <v>7</v>
      </c>
      <c r="B136" s="1">
        <f t="shared" si="1"/>
        <v>1</v>
      </c>
      <c r="C136" s="2" t="s">
        <v>13</v>
      </c>
      <c r="D136" s="2">
        <f t="shared" si="2"/>
        <v>3</v>
      </c>
      <c r="E136" s="2">
        <v>40.2</v>
      </c>
      <c r="F136" s="2">
        <v>17.1</v>
      </c>
      <c r="G136" s="2">
        <v>193.0</v>
      </c>
      <c r="H136" s="2">
        <v>3400.0</v>
      </c>
      <c r="I136" s="2" t="s">
        <v>10</v>
      </c>
      <c r="J136" s="2">
        <f t="shared" si="3"/>
        <v>0</v>
      </c>
    </row>
    <row r="137" ht="15.75" customHeight="1">
      <c r="A137" s="1" t="s">
        <v>7</v>
      </c>
      <c r="B137" s="1">
        <f t="shared" si="1"/>
        <v>1</v>
      </c>
      <c r="C137" s="2" t="s">
        <v>13</v>
      </c>
      <c r="D137" s="2">
        <f t="shared" si="2"/>
        <v>3</v>
      </c>
      <c r="E137" s="2">
        <v>40.6</v>
      </c>
      <c r="F137" s="2">
        <v>17.2</v>
      </c>
      <c r="G137" s="2">
        <v>187.0</v>
      </c>
      <c r="H137" s="2">
        <v>3475.0</v>
      </c>
      <c r="I137" s="2" t="s">
        <v>9</v>
      </c>
      <c r="J137" s="2">
        <f t="shared" si="3"/>
        <v>1</v>
      </c>
    </row>
    <row r="138" ht="15.75" customHeight="1">
      <c r="A138" s="1" t="s">
        <v>7</v>
      </c>
      <c r="B138" s="1">
        <f t="shared" si="1"/>
        <v>1</v>
      </c>
      <c r="C138" s="2" t="s">
        <v>13</v>
      </c>
      <c r="D138" s="2">
        <f t="shared" si="2"/>
        <v>3</v>
      </c>
      <c r="E138" s="2">
        <v>32.1</v>
      </c>
      <c r="F138" s="2">
        <v>15.5</v>
      </c>
      <c r="G138" s="2">
        <v>188.0</v>
      </c>
      <c r="H138" s="2">
        <v>3050.0</v>
      </c>
      <c r="I138" s="2" t="s">
        <v>10</v>
      </c>
      <c r="J138" s="2">
        <f t="shared" si="3"/>
        <v>0</v>
      </c>
    </row>
    <row r="139" ht="15.75" customHeight="1">
      <c r="A139" s="1" t="s">
        <v>7</v>
      </c>
      <c r="B139" s="1">
        <f t="shared" si="1"/>
        <v>1</v>
      </c>
      <c r="C139" s="2" t="s">
        <v>13</v>
      </c>
      <c r="D139" s="2">
        <f t="shared" si="2"/>
        <v>3</v>
      </c>
      <c r="E139" s="2">
        <v>40.7</v>
      </c>
      <c r="F139" s="2">
        <v>17.0</v>
      </c>
      <c r="G139" s="2">
        <v>190.0</v>
      </c>
      <c r="H139" s="2">
        <v>3725.0</v>
      </c>
      <c r="I139" s="2" t="s">
        <v>9</v>
      </c>
      <c r="J139" s="2">
        <f t="shared" si="3"/>
        <v>1</v>
      </c>
    </row>
    <row r="140" ht="15.75" customHeight="1">
      <c r="A140" s="1" t="s">
        <v>7</v>
      </c>
      <c r="B140" s="1">
        <f t="shared" si="1"/>
        <v>1</v>
      </c>
      <c r="C140" s="2" t="s">
        <v>13</v>
      </c>
      <c r="D140" s="2">
        <f t="shared" si="2"/>
        <v>3</v>
      </c>
      <c r="E140" s="2">
        <v>37.3</v>
      </c>
      <c r="F140" s="2">
        <v>16.8</v>
      </c>
      <c r="G140" s="2">
        <v>192.0</v>
      </c>
      <c r="H140" s="2">
        <v>3000.0</v>
      </c>
      <c r="I140" s="2" t="s">
        <v>10</v>
      </c>
      <c r="J140" s="2">
        <f t="shared" si="3"/>
        <v>0</v>
      </c>
    </row>
    <row r="141" ht="15.75" customHeight="1">
      <c r="A141" s="1" t="s">
        <v>7</v>
      </c>
      <c r="B141" s="1">
        <f t="shared" si="1"/>
        <v>1</v>
      </c>
      <c r="C141" s="2" t="s">
        <v>13</v>
      </c>
      <c r="D141" s="2">
        <f t="shared" si="2"/>
        <v>3</v>
      </c>
      <c r="E141" s="2">
        <v>39.0</v>
      </c>
      <c r="F141" s="2">
        <v>18.7</v>
      </c>
      <c r="G141" s="2">
        <v>185.0</v>
      </c>
      <c r="H141" s="2">
        <v>3650.0</v>
      </c>
      <c r="I141" s="2" t="s">
        <v>9</v>
      </c>
      <c r="J141" s="2">
        <f t="shared" si="3"/>
        <v>1</v>
      </c>
    </row>
    <row r="142" ht="15.75" customHeight="1">
      <c r="A142" s="1" t="s">
        <v>7</v>
      </c>
      <c r="B142" s="1">
        <f t="shared" si="1"/>
        <v>1</v>
      </c>
      <c r="C142" s="2" t="s">
        <v>13</v>
      </c>
      <c r="D142" s="2">
        <f t="shared" si="2"/>
        <v>3</v>
      </c>
      <c r="E142" s="2">
        <v>39.2</v>
      </c>
      <c r="F142" s="2">
        <v>18.6</v>
      </c>
      <c r="G142" s="2">
        <v>190.0</v>
      </c>
      <c r="H142" s="2">
        <v>4250.0</v>
      </c>
      <c r="I142" s="2" t="s">
        <v>9</v>
      </c>
      <c r="J142" s="2">
        <f t="shared" si="3"/>
        <v>1</v>
      </c>
    </row>
    <row r="143" ht="15.75" customHeight="1">
      <c r="A143" s="1" t="s">
        <v>7</v>
      </c>
      <c r="B143" s="1">
        <f t="shared" si="1"/>
        <v>1</v>
      </c>
      <c r="C143" s="2" t="s">
        <v>13</v>
      </c>
      <c r="D143" s="2">
        <f t="shared" si="2"/>
        <v>3</v>
      </c>
      <c r="E143" s="2">
        <v>36.6</v>
      </c>
      <c r="F143" s="2">
        <v>18.4</v>
      </c>
      <c r="G143" s="2">
        <v>184.0</v>
      </c>
      <c r="H143" s="2">
        <v>3475.0</v>
      </c>
      <c r="I143" s="2" t="s">
        <v>10</v>
      </c>
      <c r="J143" s="2">
        <f t="shared" si="3"/>
        <v>0</v>
      </c>
    </row>
    <row r="144" ht="15.75" customHeight="1">
      <c r="A144" s="1" t="s">
        <v>7</v>
      </c>
      <c r="B144" s="1">
        <f t="shared" si="1"/>
        <v>1</v>
      </c>
      <c r="C144" s="2" t="s">
        <v>13</v>
      </c>
      <c r="D144" s="2">
        <f t="shared" si="2"/>
        <v>3</v>
      </c>
      <c r="E144" s="2">
        <v>36.0</v>
      </c>
      <c r="F144" s="2">
        <v>17.8</v>
      </c>
      <c r="G144" s="2">
        <v>195.0</v>
      </c>
      <c r="H144" s="2">
        <v>3450.0</v>
      </c>
      <c r="I144" s="2" t="s">
        <v>10</v>
      </c>
      <c r="J144" s="2">
        <f t="shared" si="3"/>
        <v>0</v>
      </c>
    </row>
    <row r="145" ht="15.75" customHeight="1">
      <c r="A145" s="1" t="s">
        <v>7</v>
      </c>
      <c r="B145" s="1">
        <f t="shared" si="1"/>
        <v>1</v>
      </c>
      <c r="C145" s="2" t="s">
        <v>13</v>
      </c>
      <c r="D145" s="2">
        <f t="shared" si="2"/>
        <v>3</v>
      </c>
      <c r="E145" s="2">
        <v>37.8</v>
      </c>
      <c r="F145" s="2">
        <v>18.1</v>
      </c>
      <c r="G145" s="2">
        <v>193.0</v>
      </c>
      <c r="H145" s="2">
        <v>3750.0</v>
      </c>
      <c r="I145" s="2" t="s">
        <v>9</v>
      </c>
      <c r="J145" s="2">
        <f t="shared" si="3"/>
        <v>1</v>
      </c>
    </row>
    <row r="146" ht="15.75" customHeight="1">
      <c r="A146" s="1" t="s">
        <v>7</v>
      </c>
      <c r="B146" s="1">
        <f t="shared" si="1"/>
        <v>1</v>
      </c>
      <c r="C146" s="2" t="s">
        <v>13</v>
      </c>
      <c r="D146" s="2">
        <f t="shared" si="2"/>
        <v>3</v>
      </c>
      <c r="E146" s="2">
        <v>36.0</v>
      </c>
      <c r="F146" s="2">
        <v>17.1</v>
      </c>
      <c r="G146" s="2">
        <v>187.0</v>
      </c>
      <c r="H146" s="2">
        <v>3700.0</v>
      </c>
      <c r="I146" s="2" t="s">
        <v>10</v>
      </c>
      <c r="J146" s="2">
        <f t="shared" si="3"/>
        <v>0</v>
      </c>
    </row>
    <row r="147" ht="15.75" customHeight="1">
      <c r="A147" s="1" t="s">
        <v>7</v>
      </c>
      <c r="B147" s="1">
        <f t="shared" si="1"/>
        <v>1</v>
      </c>
      <c r="C147" s="2" t="s">
        <v>13</v>
      </c>
      <c r="D147" s="2">
        <f t="shared" si="2"/>
        <v>3</v>
      </c>
      <c r="E147" s="2">
        <v>41.5</v>
      </c>
      <c r="F147" s="2">
        <v>18.5</v>
      </c>
      <c r="G147" s="2">
        <v>201.0</v>
      </c>
      <c r="H147" s="2">
        <v>4000.0</v>
      </c>
      <c r="I147" s="2" t="s">
        <v>9</v>
      </c>
      <c r="J147" s="2">
        <f t="shared" si="3"/>
        <v>1</v>
      </c>
    </row>
    <row r="148" ht="15.75" customHeight="1">
      <c r="A148" s="1" t="s">
        <v>14</v>
      </c>
      <c r="B148" s="1">
        <f t="shared" si="1"/>
        <v>2</v>
      </c>
      <c r="C148" s="2" t="s">
        <v>13</v>
      </c>
      <c r="D148" s="2">
        <f t="shared" si="2"/>
        <v>3</v>
      </c>
      <c r="E148" s="2">
        <v>46.5</v>
      </c>
      <c r="F148" s="2">
        <v>17.9</v>
      </c>
      <c r="G148" s="2">
        <v>192.0</v>
      </c>
      <c r="H148" s="2">
        <v>3500.0</v>
      </c>
      <c r="I148" s="2" t="s">
        <v>10</v>
      </c>
      <c r="J148" s="2">
        <f t="shared" si="3"/>
        <v>0</v>
      </c>
    </row>
    <row r="149" ht="15.75" customHeight="1">
      <c r="A149" s="1" t="s">
        <v>14</v>
      </c>
      <c r="B149" s="1">
        <f t="shared" si="1"/>
        <v>2</v>
      </c>
      <c r="C149" s="2" t="s">
        <v>13</v>
      </c>
      <c r="D149" s="2">
        <f t="shared" si="2"/>
        <v>3</v>
      </c>
      <c r="E149" s="2">
        <v>50.0</v>
      </c>
      <c r="F149" s="2">
        <v>19.5</v>
      </c>
      <c r="G149" s="2">
        <v>196.0</v>
      </c>
      <c r="H149" s="2">
        <v>3900.0</v>
      </c>
      <c r="I149" s="2" t="s">
        <v>9</v>
      </c>
      <c r="J149" s="2">
        <f t="shared" si="3"/>
        <v>1</v>
      </c>
    </row>
    <row r="150" ht="15.75" customHeight="1">
      <c r="A150" s="1" t="s">
        <v>14</v>
      </c>
      <c r="B150" s="1">
        <f t="shared" si="1"/>
        <v>2</v>
      </c>
      <c r="C150" s="2" t="s">
        <v>13</v>
      </c>
      <c r="D150" s="2">
        <f t="shared" si="2"/>
        <v>3</v>
      </c>
      <c r="E150" s="2">
        <v>51.3</v>
      </c>
      <c r="F150" s="2">
        <v>19.2</v>
      </c>
      <c r="G150" s="2">
        <v>193.0</v>
      </c>
      <c r="H150" s="2">
        <v>3650.0</v>
      </c>
      <c r="I150" s="2" t="s">
        <v>9</v>
      </c>
      <c r="J150" s="2">
        <f t="shared" si="3"/>
        <v>1</v>
      </c>
    </row>
    <row r="151" ht="15.75" customHeight="1">
      <c r="A151" s="1" t="s">
        <v>14</v>
      </c>
      <c r="B151" s="1">
        <f t="shared" si="1"/>
        <v>2</v>
      </c>
      <c r="C151" s="2" t="s">
        <v>13</v>
      </c>
      <c r="D151" s="2">
        <f t="shared" si="2"/>
        <v>3</v>
      </c>
      <c r="E151" s="2">
        <v>45.4</v>
      </c>
      <c r="F151" s="2">
        <v>18.7</v>
      </c>
      <c r="G151" s="2">
        <v>188.0</v>
      </c>
      <c r="H151" s="2">
        <v>3525.0</v>
      </c>
      <c r="I151" s="2" t="s">
        <v>10</v>
      </c>
      <c r="J151" s="2">
        <f t="shared" si="3"/>
        <v>0</v>
      </c>
    </row>
    <row r="152" ht="15.75" customHeight="1">
      <c r="A152" s="1" t="s">
        <v>14</v>
      </c>
      <c r="B152" s="1">
        <f t="shared" si="1"/>
        <v>2</v>
      </c>
      <c r="C152" s="2" t="s">
        <v>13</v>
      </c>
      <c r="D152" s="2">
        <f t="shared" si="2"/>
        <v>3</v>
      </c>
      <c r="E152" s="2">
        <v>52.7</v>
      </c>
      <c r="F152" s="2">
        <v>19.8</v>
      </c>
      <c r="G152" s="2">
        <v>197.0</v>
      </c>
      <c r="H152" s="2">
        <v>3725.0</v>
      </c>
      <c r="I152" s="2" t="s">
        <v>9</v>
      </c>
      <c r="J152" s="2">
        <f t="shared" si="3"/>
        <v>1</v>
      </c>
    </row>
    <row r="153" ht="15.75" customHeight="1">
      <c r="A153" s="1" t="s">
        <v>14</v>
      </c>
      <c r="B153" s="1">
        <f t="shared" si="1"/>
        <v>2</v>
      </c>
      <c r="C153" s="2" t="s">
        <v>13</v>
      </c>
      <c r="D153" s="2">
        <f t="shared" si="2"/>
        <v>3</v>
      </c>
      <c r="E153" s="2">
        <v>45.2</v>
      </c>
      <c r="F153" s="2">
        <v>17.8</v>
      </c>
      <c r="G153" s="2">
        <v>198.0</v>
      </c>
      <c r="H153" s="2">
        <v>3950.0</v>
      </c>
      <c r="I153" s="2" t="s">
        <v>10</v>
      </c>
      <c r="J153" s="2">
        <f t="shared" si="3"/>
        <v>0</v>
      </c>
    </row>
    <row r="154" ht="15.75" customHeight="1">
      <c r="A154" s="1" t="s">
        <v>14</v>
      </c>
      <c r="B154" s="1">
        <f t="shared" si="1"/>
        <v>2</v>
      </c>
      <c r="C154" s="2" t="s">
        <v>13</v>
      </c>
      <c r="D154" s="2">
        <f t="shared" si="2"/>
        <v>3</v>
      </c>
      <c r="E154" s="2">
        <v>46.1</v>
      </c>
      <c r="F154" s="2">
        <v>18.2</v>
      </c>
      <c r="G154" s="2">
        <v>178.0</v>
      </c>
      <c r="H154" s="2">
        <v>3250.0</v>
      </c>
      <c r="I154" s="2" t="s">
        <v>10</v>
      </c>
      <c r="J154" s="2">
        <f t="shared" si="3"/>
        <v>0</v>
      </c>
    </row>
    <row r="155" ht="15.75" customHeight="1">
      <c r="A155" s="1" t="s">
        <v>14</v>
      </c>
      <c r="B155" s="1">
        <f t="shared" si="1"/>
        <v>2</v>
      </c>
      <c r="C155" s="2" t="s">
        <v>13</v>
      </c>
      <c r="D155" s="2">
        <f t="shared" si="2"/>
        <v>3</v>
      </c>
      <c r="E155" s="2">
        <v>51.3</v>
      </c>
      <c r="F155" s="2">
        <v>18.2</v>
      </c>
      <c r="G155" s="2">
        <v>197.0</v>
      </c>
      <c r="H155" s="2">
        <v>3750.0</v>
      </c>
      <c r="I155" s="2" t="s">
        <v>9</v>
      </c>
      <c r="J155" s="2">
        <f t="shared" si="3"/>
        <v>1</v>
      </c>
    </row>
    <row r="156" ht="15.75" customHeight="1">
      <c r="A156" s="1" t="s">
        <v>14</v>
      </c>
      <c r="B156" s="1">
        <f t="shared" si="1"/>
        <v>2</v>
      </c>
      <c r="C156" s="2" t="s">
        <v>13</v>
      </c>
      <c r="D156" s="2">
        <f t="shared" si="2"/>
        <v>3</v>
      </c>
      <c r="E156" s="2">
        <v>46.0</v>
      </c>
      <c r="F156" s="2">
        <v>18.9</v>
      </c>
      <c r="G156" s="2">
        <v>195.0</v>
      </c>
      <c r="H156" s="2">
        <v>4150.0</v>
      </c>
      <c r="I156" s="2" t="s">
        <v>10</v>
      </c>
      <c r="J156" s="2">
        <f t="shared" si="3"/>
        <v>0</v>
      </c>
    </row>
    <row r="157" ht="15.75" customHeight="1">
      <c r="A157" s="1" t="s">
        <v>14</v>
      </c>
      <c r="B157" s="1">
        <f t="shared" si="1"/>
        <v>2</v>
      </c>
      <c r="C157" s="2" t="s">
        <v>13</v>
      </c>
      <c r="D157" s="2">
        <f t="shared" si="2"/>
        <v>3</v>
      </c>
      <c r="E157" s="2">
        <v>51.3</v>
      </c>
      <c r="F157" s="2">
        <v>19.9</v>
      </c>
      <c r="G157" s="2">
        <v>198.0</v>
      </c>
      <c r="H157" s="2">
        <v>3700.0</v>
      </c>
      <c r="I157" s="2" t="s">
        <v>9</v>
      </c>
      <c r="J157" s="2">
        <f t="shared" si="3"/>
        <v>1</v>
      </c>
    </row>
    <row r="158" ht="15.75" customHeight="1">
      <c r="A158" s="1" t="s">
        <v>14</v>
      </c>
      <c r="B158" s="1">
        <f t="shared" si="1"/>
        <v>2</v>
      </c>
      <c r="C158" s="2" t="s">
        <v>13</v>
      </c>
      <c r="D158" s="2">
        <f t="shared" si="2"/>
        <v>3</v>
      </c>
      <c r="E158" s="2">
        <v>46.6</v>
      </c>
      <c r="F158" s="2">
        <v>17.8</v>
      </c>
      <c r="G158" s="2">
        <v>193.0</v>
      </c>
      <c r="H158" s="2">
        <v>3800.0</v>
      </c>
      <c r="I158" s="2" t="s">
        <v>10</v>
      </c>
      <c r="J158" s="2">
        <f t="shared" si="3"/>
        <v>0</v>
      </c>
    </row>
    <row r="159" ht="15.75" customHeight="1">
      <c r="A159" s="1" t="s">
        <v>14</v>
      </c>
      <c r="B159" s="1">
        <f t="shared" si="1"/>
        <v>2</v>
      </c>
      <c r="C159" s="2" t="s">
        <v>13</v>
      </c>
      <c r="D159" s="2">
        <f t="shared" si="2"/>
        <v>3</v>
      </c>
      <c r="E159" s="2">
        <v>51.7</v>
      </c>
      <c r="F159" s="2">
        <v>20.3</v>
      </c>
      <c r="G159" s="2">
        <v>194.0</v>
      </c>
      <c r="H159" s="2">
        <v>3775.0</v>
      </c>
      <c r="I159" s="2" t="s">
        <v>9</v>
      </c>
      <c r="J159" s="2">
        <f t="shared" si="3"/>
        <v>1</v>
      </c>
    </row>
    <row r="160" ht="15.75" customHeight="1">
      <c r="A160" s="1" t="s">
        <v>14</v>
      </c>
      <c r="B160" s="1">
        <f t="shared" si="1"/>
        <v>2</v>
      </c>
      <c r="C160" s="2" t="s">
        <v>13</v>
      </c>
      <c r="D160" s="2">
        <f t="shared" si="2"/>
        <v>3</v>
      </c>
      <c r="E160" s="2">
        <v>47.0</v>
      </c>
      <c r="F160" s="2">
        <v>17.3</v>
      </c>
      <c r="G160" s="2">
        <v>185.0</v>
      </c>
      <c r="H160" s="2">
        <v>3700.0</v>
      </c>
      <c r="I160" s="2" t="s">
        <v>10</v>
      </c>
      <c r="J160" s="2">
        <f t="shared" si="3"/>
        <v>0</v>
      </c>
    </row>
    <row r="161" ht="15.75" customHeight="1">
      <c r="A161" s="1" t="s">
        <v>14</v>
      </c>
      <c r="B161" s="1">
        <f t="shared" si="1"/>
        <v>2</v>
      </c>
      <c r="C161" s="2" t="s">
        <v>13</v>
      </c>
      <c r="D161" s="2">
        <f t="shared" si="2"/>
        <v>3</v>
      </c>
      <c r="E161" s="2">
        <v>52.0</v>
      </c>
      <c r="F161" s="2">
        <v>18.1</v>
      </c>
      <c r="G161" s="2">
        <v>201.0</v>
      </c>
      <c r="H161" s="2">
        <v>4050.0</v>
      </c>
      <c r="I161" s="2" t="s">
        <v>9</v>
      </c>
      <c r="J161" s="2">
        <f t="shared" si="3"/>
        <v>1</v>
      </c>
    </row>
    <row r="162" ht="15.75" customHeight="1">
      <c r="A162" s="1" t="s">
        <v>14</v>
      </c>
      <c r="B162" s="1">
        <f t="shared" si="1"/>
        <v>2</v>
      </c>
      <c r="C162" s="2" t="s">
        <v>13</v>
      </c>
      <c r="D162" s="2">
        <f t="shared" si="2"/>
        <v>3</v>
      </c>
      <c r="E162" s="2">
        <v>45.9</v>
      </c>
      <c r="F162" s="2">
        <v>17.1</v>
      </c>
      <c r="G162" s="2">
        <v>190.0</v>
      </c>
      <c r="H162" s="2">
        <v>3575.0</v>
      </c>
      <c r="I162" s="2" t="s">
        <v>10</v>
      </c>
      <c r="J162" s="2">
        <f t="shared" si="3"/>
        <v>0</v>
      </c>
    </row>
    <row r="163" ht="15.75" customHeight="1">
      <c r="A163" s="1" t="s">
        <v>14</v>
      </c>
      <c r="B163" s="1">
        <f t="shared" si="1"/>
        <v>2</v>
      </c>
      <c r="C163" s="2" t="s">
        <v>13</v>
      </c>
      <c r="D163" s="2">
        <f t="shared" si="2"/>
        <v>3</v>
      </c>
      <c r="E163" s="2">
        <v>50.5</v>
      </c>
      <c r="F163" s="2">
        <v>19.6</v>
      </c>
      <c r="G163" s="2">
        <v>201.0</v>
      </c>
      <c r="H163" s="2">
        <v>4050.0</v>
      </c>
      <c r="I163" s="2" t="s">
        <v>9</v>
      </c>
      <c r="J163" s="2">
        <f t="shared" si="3"/>
        <v>1</v>
      </c>
    </row>
    <row r="164" ht="15.75" customHeight="1">
      <c r="A164" s="1" t="s">
        <v>14</v>
      </c>
      <c r="B164" s="1">
        <f t="shared" si="1"/>
        <v>2</v>
      </c>
      <c r="C164" s="2" t="s">
        <v>13</v>
      </c>
      <c r="D164" s="2">
        <f t="shared" si="2"/>
        <v>3</v>
      </c>
      <c r="E164" s="2">
        <v>50.3</v>
      </c>
      <c r="F164" s="2">
        <v>20.0</v>
      </c>
      <c r="G164" s="2">
        <v>197.0</v>
      </c>
      <c r="H164" s="2">
        <v>3300.0</v>
      </c>
      <c r="I164" s="2" t="s">
        <v>9</v>
      </c>
      <c r="J164" s="2">
        <f t="shared" si="3"/>
        <v>1</v>
      </c>
    </row>
    <row r="165" ht="15.75" customHeight="1">
      <c r="A165" s="1" t="s">
        <v>14</v>
      </c>
      <c r="B165" s="1">
        <f t="shared" si="1"/>
        <v>2</v>
      </c>
      <c r="C165" s="2" t="s">
        <v>13</v>
      </c>
      <c r="D165" s="2">
        <f t="shared" si="2"/>
        <v>3</v>
      </c>
      <c r="E165" s="2">
        <v>58.0</v>
      </c>
      <c r="F165" s="2">
        <v>17.8</v>
      </c>
      <c r="G165" s="2">
        <v>181.0</v>
      </c>
      <c r="H165" s="2">
        <v>3700.0</v>
      </c>
      <c r="I165" s="2" t="s">
        <v>10</v>
      </c>
      <c r="J165" s="2">
        <f t="shared" si="3"/>
        <v>0</v>
      </c>
    </row>
    <row r="166" ht="15.75" customHeight="1">
      <c r="A166" s="1" t="s">
        <v>14</v>
      </c>
      <c r="B166" s="1">
        <f t="shared" si="1"/>
        <v>2</v>
      </c>
      <c r="C166" s="2" t="s">
        <v>13</v>
      </c>
      <c r="D166" s="2">
        <f t="shared" si="2"/>
        <v>3</v>
      </c>
      <c r="E166" s="2">
        <v>46.4</v>
      </c>
      <c r="F166" s="2">
        <v>18.6</v>
      </c>
      <c r="G166" s="2">
        <v>190.0</v>
      </c>
      <c r="H166" s="2">
        <v>3450.0</v>
      </c>
      <c r="I166" s="2" t="s">
        <v>10</v>
      </c>
      <c r="J166" s="2">
        <f t="shared" si="3"/>
        <v>0</v>
      </c>
    </row>
    <row r="167" ht="15.75" customHeight="1">
      <c r="A167" s="1" t="s">
        <v>14</v>
      </c>
      <c r="B167" s="1">
        <f t="shared" si="1"/>
        <v>2</v>
      </c>
      <c r="C167" s="2" t="s">
        <v>13</v>
      </c>
      <c r="D167" s="2">
        <f t="shared" si="2"/>
        <v>3</v>
      </c>
      <c r="E167" s="2">
        <v>49.2</v>
      </c>
      <c r="F167" s="2">
        <v>18.2</v>
      </c>
      <c r="G167" s="2">
        <v>195.0</v>
      </c>
      <c r="H167" s="2">
        <v>4400.0</v>
      </c>
      <c r="I167" s="2" t="s">
        <v>9</v>
      </c>
      <c r="J167" s="2">
        <f t="shared" si="3"/>
        <v>1</v>
      </c>
    </row>
    <row r="168" ht="15.75" customHeight="1">
      <c r="A168" s="1" t="s">
        <v>14</v>
      </c>
      <c r="B168" s="1">
        <f t="shared" si="1"/>
        <v>2</v>
      </c>
      <c r="C168" s="2" t="s">
        <v>13</v>
      </c>
      <c r="D168" s="2">
        <f t="shared" si="2"/>
        <v>3</v>
      </c>
      <c r="E168" s="2">
        <v>42.4</v>
      </c>
      <c r="F168" s="2">
        <v>17.3</v>
      </c>
      <c r="G168" s="2">
        <v>181.0</v>
      </c>
      <c r="H168" s="2">
        <v>3600.0</v>
      </c>
      <c r="I168" s="2" t="s">
        <v>10</v>
      </c>
      <c r="J168" s="2">
        <f t="shared" si="3"/>
        <v>0</v>
      </c>
    </row>
    <row r="169" ht="15.75" customHeight="1">
      <c r="A169" s="1" t="s">
        <v>14</v>
      </c>
      <c r="B169" s="1">
        <f t="shared" si="1"/>
        <v>2</v>
      </c>
      <c r="C169" s="2" t="s">
        <v>13</v>
      </c>
      <c r="D169" s="2">
        <f t="shared" si="2"/>
        <v>3</v>
      </c>
      <c r="E169" s="2">
        <v>48.5</v>
      </c>
      <c r="F169" s="2">
        <v>17.5</v>
      </c>
      <c r="G169" s="2">
        <v>191.0</v>
      </c>
      <c r="H169" s="2">
        <v>3400.0</v>
      </c>
      <c r="I169" s="2" t="s">
        <v>9</v>
      </c>
      <c r="J169" s="2">
        <f t="shared" si="3"/>
        <v>1</v>
      </c>
    </row>
    <row r="170" ht="15.75" customHeight="1">
      <c r="A170" s="1" t="s">
        <v>14</v>
      </c>
      <c r="B170" s="1">
        <f t="shared" si="1"/>
        <v>2</v>
      </c>
      <c r="C170" s="2" t="s">
        <v>13</v>
      </c>
      <c r="D170" s="2">
        <f t="shared" si="2"/>
        <v>3</v>
      </c>
      <c r="E170" s="2">
        <v>43.2</v>
      </c>
      <c r="F170" s="2">
        <v>16.6</v>
      </c>
      <c r="G170" s="2">
        <v>187.0</v>
      </c>
      <c r="H170" s="2">
        <v>2900.0</v>
      </c>
      <c r="I170" s="2" t="s">
        <v>10</v>
      </c>
      <c r="J170" s="2">
        <f t="shared" si="3"/>
        <v>0</v>
      </c>
    </row>
    <row r="171" ht="15.75" customHeight="1">
      <c r="A171" s="1" t="s">
        <v>14</v>
      </c>
      <c r="B171" s="1">
        <f t="shared" si="1"/>
        <v>2</v>
      </c>
      <c r="C171" s="2" t="s">
        <v>13</v>
      </c>
      <c r="D171" s="2">
        <f t="shared" si="2"/>
        <v>3</v>
      </c>
      <c r="E171" s="2">
        <v>50.6</v>
      </c>
      <c r="F171" s="2">
        <v>19.4</v>
      </c>
      <c r="G171" s="2">
        <v>193.0</v>
      </c>
      <c r="H171" s="2">
        <v>3800.0</v>
      </c>
      <c r="I171" s="2" t="s">
        <v>9</v>
      </c>
      <c r="J171" s="2">
        <f t="shared" si="3"/>
        <v>1</v>
      </c>
    </row>
    <row r="172" ht="15.75" customHeight="1">
      <c r="A172" s="1" t="s">
        <v>14</v>
      </c>
      <c r="B172" s="1">
        <f t="shared" si="1"/>
        <v>2</v>
      </c>
      <c r="C172" s="2" t="s">
        <v>13</v>
      </c>
      <c r="D172" s="2">
        <f t="shared" si="2"/>
        <v>3</v>
      </c>
      <c r="E172" s="2">
        <v>46.7</v>
      </c>
      <c r="F172" s="2">
        <v>17.9</v>
      </c>
      <c r="G172" s="2">
        <v>195.0</v>
      </c>
      <c r="H172" s="2">
        <v>3300.0</v>
      </c>
      <c r="I172" s="2" t="s">
        <v>10</v>
      </c>
      <c r="J172" s="2">
        <f t="shared" si="3"/>
        <v>0</v>
      </c>
    </row>
    <row r="173" ht="15.75" customHeight="1">
      <c r="A173" s="1" t="s">
        <v>14</v>
      </c>
      <c r="B173" s="1">
        <f t="shared" si="1"/>
        <v>2</v>
      </c>
      <c r="C173" s="2" t="s">
        <v>13</v>
      </c>
      <c r="D173" s="2">
        <f t="shared" si="2"/>
        <v>3</v>
      </c>
      <c r="E173" s="2">
        <v>52.0</v>
      </c>
      <c r="F173" s="2">
        <v>19.0</v>
      </c>
      <c r="G173" s="2">
        <v>197.0</v>
      </c>
      <c r="H173" s="2">
        <v>4150.0</v>
      </c>
      <c r="I173" s="2" t="s">
        <v>9</v>
      </c>
      <c r="J173" s="2">
        <f t="shared" si="3"/>
        <v>1</v>
      </c>
    </row>
    <row r="174" ht="15.75" customHeight="1">
      <c r="A174" s="1" t="s">
        <v>14</v>
      </c>
      <c r="B174" s="1">
        <f t="shared" si="1"/>
        <v>2</v>
      </c>
      <c r="C174" s="2" t="s">
        <v>13</v>
      </c>
      <c r="D174" s="2">
        <f t="shared" si="2"/>
        <v>3</v>
      </c>
      <c r="E174" s="2">
        <v>50.5</v>
      </c>
      <c r="F174" s="2">
        <v>18.4</v>
      </c>
      <c r="G174" s="2">
        <v>200.0</v>
      </c>
      <c r="H174" s="2">
        <v>3400.0</v>
      </c>
      <c r="I174" s="2" t="s">
        <v>10</v>
      </c>
      <c r="J174" s="2">
        <f t="shared" si="3"/>
        <v>0</v>
      </c>
    </row>
    <row r="175" ht="15.75" customHeight="1">
      <c r="A175" s="1" t="s">
        <v>14</v>
      </c>
      <c r="B175" s="1">
        <f t="shared" si="1"/>
        <v>2</v>
      </c>
      <c r="C175" s="2" t="s">
        <v>13</v>
      </c>
      <c r="D175" s="2">
        <f t="shared" si="2"/>
        <v>3</v>
      </c>
      <c r="E175" s="2">
        <v>49.5</v>
      </c>
      <c r="F175" s="2">
        <v>19.0</v>
      </c>
      <c r="G175" s="2">
        <v>200.0</v>
      </c>
      <c r="H175" s="2">
        <v>3800.0</v>
      </c>
      <c r="I175" s="2" t="s">
        <v>9</v>
      </c>
      <c r="J175" s="2">
        <f t="shared" si="3"/>
        <v>1</v>
      </c>
    </row>
    <row r="176" ht="15.75" customHeight="1">
      <c r="A176" s="1" t="s">
        <v>14</v>
      </c>
      <c r="B176" s="1">
        <f t="shared" si="1"/>
        <v>2</v>
      </c>
      <c r="C176" s="2" t="s">
        <v>13</v>
      </c>
      <c r="D176" s="2">
        <f t="shared" si="2"/>
        <v>3</v>
      </c>
      <c r="E176" s="2">
        <v>46.4</v>
      </c>
      <c r="F176" s="2">
        <v>17.8</v>
      </c>
      <c r="G176" s="2">
        <v>191.0</v>
      </c>
      <c r="H176" s="2">
        <v>3700.0</v>
      </c>
      <c r="I176" s="2" t="s">
        <v>10</v>
      </c>
      <c r="J176" s="2">
        <f t="shared" si="3"/>
        <v>0</v>
      </c>
    </row>
    <row r="177" ht="15.75" customHeight="1">
      <c r="A177" s="1" t="s">
        <v>14</v>
      </c>
      <c r="B177" s="1">
        <f t="shared" si="1"/>
        <v>2</v>
      </c>
      <c r="C177" s="2" t="s">
        <v>13</v>
      </c>
      <c r="D177" s="2">
        <f t="shared" si="2"/>
        <v>3</v>
      </c>
      <c r="E177" s="2">
        <v>52.8</v>
      </c>
      <c r="F177" s="2">
        <v>20.0</v>
      </c>
      <c r="G177" s="2">
        <v>205.0</v>
      </c>
      <c r="H177" s="2">
        <v>4550.0</v>
      </c>
      <c r="I177" s="2" t="s">
        <v>9</v>
      </c>
      <c r="J177" s="2">
        <f t="shared" si="3"/>
        <v>1</v>
      </c>
    </row>
    <row r="178" ht="15.75" customHeight="1">
      <c r="A178" s="1" t="s">
        <v>14</v>
      </c>
      <c r="B178" s="1">
        <f t="shared" si="1"/>
        <v>2</v>
      </c>
      <c r="C178" s="2" t="s">
        <v>13</v>
      </c>
      <c r="D178" s="2">
        <f t="shared" si="2"/>
        <v>3</v>
      </c>
      <c r="E178" s="2">
        <v>40.9</v>
      </c>
      <c r="F178" s="2">
        <v>16.6</v>
      </c>
      <c r="G178" s="2">
        <v>187.0</v>
      </c>
      <c r="H178" s="2">
        <v>3200.0</v>
      </c>
      <c r="I178" s="2" t="s">
        <v>10</v>
      </c>
      <c r="J178" s="2">
        <f t="shared" si="3"/>
        <v>0</v>
      </c>
    </row>
    <row r="179" ht="15.75" customHeight="1">
      <c r="A179" s="1" t="s">
        <v>14</v>
      </c>
      <c r="B179" s="1">
        <f t="shared" si="1"/>
        <v>2</v>
      </c>
      <c r="C179" s="2" t="s">
        <v>13</v>
      </c>
      <c r="D179" s="2">
        <f t="shared" si="2"/>
        <v>3</v>
      </c>
      <c r="E179" s="2">
        <v>54.2</v>
      </c>
      <c r="F179" s="2">
        <v>20.8</v>
      </c>
      <c r="G179" s="2">
        <v>201.0</v>
      </c>
      <c r="H179" s="2">
        <v>4300.0</v>
      </c>
      <c r="I179" s="2" t="s">
        <v>9</v>
      </c>
      <c r="J179" s="2">
        <f t="shared" si="3"/>
        <v>1</v>
      </c>
    </row>
    <row r="180" ht="15.75" customHeight="1">
      <c r="A180" s="1" t="s">
        <v>14</v>
      </c>
      <c r="B180" s="1">
        <f t="shared" si="1"/>
        <v>2</v>
      </c>
      <c r="C180" s="2" t="s">
        <v>13</v>
      </c>
      <c r="D180" s="2">
        <f t="shared" si="2"/>
        <v>3</v>
      </c>
      <c r="E180" s="2">
        <v>42.5</v>
      </c>
      <c r="F180" s="2">
        <v>16.7</v>
      </c>
      <c r="G180" s="2">
        <v>187.0</v>
      </c>
      <c r="H180" s="2">
        <v>3350.0</v>
      </c>
      <c r="I180" s="2" t="s">
        <v>10</v>
      </c>
      <c r="J180" s="2">
        <f t="shared" si="3"/>
        <v>0</v>
      </c>
    </row>
    <row r="181" ht="15.75" customHeight="1">
      <c r="A181" s="1" t="s">
        <v>14</v>
      </c>
      <c r="B181" s="1">
        <f t="shared" si="1"/>
        <v>2</v>
      </c>
      <c r="C181" s="2" t="s">
        <v>13</v>
      </c>
      <c r="D181" s="2">
        <f t="shared" si="2"/>
        <v>3</v>
      </c>
      <c r="E181" s="2">
        <v>51.0</v>
      </c>
      <c r="F181" s="2">
        <v>18.8</v>
      </c>
      <c r="G181" s="2">
        <v>203.0</v>
      </c>
      <c r="H181" s="2">
        <v>4100.0</v>
      </c>
      <c r="I181" s="2" t="s">
        <v>9</v>
      </c>
      <c r="J181" s="2">
        <f t="shared" si="3"/>
        <v>1</v>
      </c>
    </row>
    <row r="182" ht="15.75" customHeight="1">
      <c r="A182" s="1" t="s">
        <v>14</v>
      </c>
      <c r="B182" s="1">
        <f t="shared" si="1"/>
        <v>2</v>
      </c>
      <c r="C182" s="2" t="s">
        <v>13</v>
      </c>
      <c r="D182" s="2">
        <f t="shared" si="2"/>
        <v>3</v>
      </c>
      <c r="E182" s="2">
        <v>49.7</v>
      </c>
      <c r="F182" s="2">
        <v>18.6</v>
      </c>
      <c r="G182" s="2">
        <v>195.0</v>
      </c>
      <c r="H182" s="2">
        <v>3600.0</v>
      </c>
      <c r="I182" s="2" t="s">
        <v>9</v>
      </c>
      <c r="J182" s="2">
        <f t="shared" si="3"/>
        <v>1</v>
      </c>
    </row>
    <row r="183" ht="15.75" customHeight="1">
      <c r="A183" s="1" t="s">
        <v>14</v>
      </c>
      <c r="B183" s="1">
        <f t="shared" si="1"/>
        <v>2</v>
      </c>
      <c r="C183" s="2" t="s">
        <v>13</v>
      </c>
      <c r="D183" s="2">
        <f t="shared" si="2"/>
        <v>3</v>
      </c>
      <c r="E183" s="2">
        <v>47.5</v>
      </c>
      <c r="F183" s="2">
        <v>16.8</v>
      </c>
      <c r="G183" s="2">
        <v>199.0</v>
      </c>
      <c r="H183" s="2">
        <v>3900.0</v>
      </c>
      <c r="I183" s="2" t="s">
        <v>10</v>
      </c>
      <c r="J183" s="2">
        <f t="shared" si="3"/>
        <v>0</v>
      </c>
    </row>
    <row r="184" ht="15.75" customHeight="1">
      <c r="A184" s="1" t="s">
        <v>14</v>
      </c>
      <c r="B184" s="1">
        <f t="shared" si="1"/>
        <v>2</v>
      </c>
      <c r="C184" s="2" t="s">
        <v>13</v>
      </c>
      <c r="D184" s="2">
        <f t="shared" si="2"/>
        <v>3</v>
      </c>
      <c r="E184" s="2">
        <v>47.6</v>
      </c>
      <c r="F184" s="2">
        <v>18.3</v>
      </c>
      <c r="G184" s="2">
        <v>195.0</v>
      </c>
      <c r="H184" s="2">
        <v>3850.0</v>
      </c>
      <c r="I184" s="2" t="s">
        <v>10</v>
      </c>
      <c r="J184" s="2">
        <f t="shared" si="3"/>
        <v>0</v>
      </c>
    </row>
    <row r="185" ht="15.75" customHeight="1">
      <c r="A185" s="1" t="s">
        <v>14</v>
      </c>
      <c r="B185" s="1">
        <f t="shared" si="1"/>
        <v>2</v>
      </c>
      <c r="C185" s="2" t="s">
        <v>13</v>
      </c>
      <c r="D185" s="2">
        <f t="shared" si="2"/>
        <v>3</v>
      </c>
      <c r="E185" s="2">
        <v>52.0</v>
      </c>
      <c r="F185" s="2">
        <v>20.7</v>
      </c>
      <c r="G185" s="2">
        <v>210.0</v>
      </c>
      <c r="H185" s="2">
        <v>4800.0</v>
      </c>
      <c r="I185" s="2" t="s">
        <v>9</v>
      </c>
      <c r="J185" s="2">
        <f t="shared" si="3"/>
        <v>1</v>
      </c>
    </row>
    <row r="186" ht="15.75" customHeight="1">
      <c r="A186" s="1" t="s">
        <v>14</v>
      </c>
      <c r="B186" s="1">
        <f t="shared" si="1"/>
        <v>2</v>
      </c>
      <c r="C186" s="2" t="s">
        <v>13</v>
      </c>
      <c r="D186" s="2">
        <f t="shared" si="2"/>
        <v>3</v>
      </c>
      <c r="E186" s="2">
        <v>46.9</v>
      </c>
      <c r="F186" s="2">
        <v>16.6</v>
      </c>
      <c r="G186" s="2">
        <v>192.0</v>
      </c>
      <c r="H186" s="2">
        <v>2700.0</v>
      </c>
      <c r="I186" s="2" t="s">
        <v>10</v>
      </c>
      <c r="J186" s="2">
        <f t="shared" si="3"/>
        <v>0</v>
      </c>
    </row>
    <row r="187" ht="15.75" customHeight="1">
      <c r="A187" s="1" t="s">
        <v>14</v>
      </c>
      <c r="B187" s="1">
        <f t="shared" si="1"/>
        <v>2</v>
      </c>
      <c r="C187" s="2" t="s">
        <v>13</v>
      </c>
      <c r="D187" s="2">
        <f t="shared" si="2"/>
        <v>3</v>
      </c>
      <c r="E187" s="2">
        <v>53.5</v>
      </c>
      <c r="F187" s="2">
        <v>19.9</v>
      </c>
      <c r="G187" s="2">
        <v>205.0</v>
      </c>
      <c r="H187" s="2">
        <v>4500.0</v>
      </c>
      <c r="I187" s="2" t="s">
        <v>9</v>
      </c>
      <c r="J187" s="2">
        <f t="shared" si="3"/>
        <v>1</v>
      </c>
    </row>
    <row r="188" ht="15.75" customHeight="1">
      <c r="A188" s="1" t="s">
        <v>14</v>
      </c>
      <c r="B188" s="1">
        <f t="shared" si="1"/>
        <v>2</v>
      </c>
      <c r="C188" s="2" t="s">
        <v>13</v>
      </c>
      <c r="D188" s="2">
        <f t="shared" si="2"/>
        <v>3</v>
      </c>
      <c r="E188" s="2">
        <v>49.0</v>
      </c>
      <c r="F188" s="2">
        <v>19.5</v>
      </c>
      <c r="G188" s="2">
        <v>210.0</v>
      </c>
      <c r="H188" s="2">
        <v>3950.0</v>
      </c>
      <c r="I188" s="2" t="s">
        <v>9</v>
      </c>
      <c r="J188" s="2">
        <f t="shared" si="3"/>
        <v>1</v>
      </c>
    </row>
    <row r="189" ht="15.75" customHeight="1">
      <c r="A189" s="1" t="s">
        <v>14</v>
      </c>
      <c r="B189" s="1">
        <f t="shared" si="1"/>
        <v>2</v>
      </c>
      <c r="C189" s="2" t="s">
        <v>13</v>
      </c>
      <c r="D189" s="2">
        <f t="shared" si="2"/>
        <v>3</v>
      </c>
      <c r="E189" s="2">
        <v>46.2</v>
      </c>
      <c r="F189" s="2">
        <v>17.5</v>
      </c>
      <c r="G189" s="2">
        <v>187.0</v>
      </c>
      <c r="H189" s="2">
        <v>3650.0</v>
      </c>
      <c r="I189" s="2" t="s">
        <v>10</v>
      </c>
      <c r="J189" s="2">
        <f t="shared" si="3"/>
        <v>0</v>
      </c>
    </row>
    <row r="190" ht="15.75" customHeight="1">
      <c r="A190" s="1" t="s">
        <v>14</v>
      </c>
      <c r="B190" s="1">
        <f t="shared" si="1"/>
        <v>2</v>
      </c>
      <c r="C190" s="2" t="s">
        <v>13</v>
      </c>
      <c r="D190" s="2">
        <f t="shared" si="2"/>
        <v>3</v>
      </c>
      <c r="E190" s="2">
        <v>50.9</v>
      </c>
      <c r="F190" s="2">
        <v>19.1</v>
      </c>
      <c r="G190" s="2">
        <v>196.0</v>
      </c>
      <c r="H190" s="2">
        <v>3550.0</v>
      </c>
      <c r="I190" s="2" t="s">
        <v>9</v>
      </c>
      <c r="J190" s="2">
        <f t="shared" si="3"/>
        <v>1</v>
      </c>
    </row>
    <row r="191" ht="15.75" customHeight="1">
      <c r="A191" s="1" t="s">
        <v>14</v>
      </c>
      <c r="B191" s="1">
        <f t="shared" si="1"/>
        <v>2</v>
      </c>
      <c r="C191" s="2" t="s">
        <v>13</v>
      </c>
      <c r="D191" s="2">
        <f t="shared" si="2"/>
        <v>3</v>
      </c>
      <c r="E191" s="2">
        <v>45.5</v>
      </c>
      <c r="F191" s="2">
        <v>17.0</v>
      </c>
      <c r="G191" s="2">
        <v>196.0</v>
      </c>
      <c r="H191" s="2">
        <v>3500.0</v>
      </c>
      <c r="I191" s="2" t="s">
        <v>10</v>
      </c>
      <c r="J191" s="2">
        <f t="shared" si="3"/>
        <v>0</v>
      </c>
    </row>
    <row r="192" ht="15.75" customHeight="1">
      <c r="A192" s="1" t="s">
        <v>14</v>
      </c>
      <c r="B192" s="1">
        <f t="shared" si="1"/>
        <v>2</v>
      </c>
      <c r="C192" s="2" t="s">
        <v>13</v>
      </c>
      <c r="D192" s="2">
        <f t="shared" si="2"/>
        <v>3</v>
      </c>
      <c r="E192" s="2">
        <v>50.9</v>
      </c>
      <c r="F192" s="2">
        <v>17.9</v>
      </c>
      <c r="G192" s="2">
        <v>196.0</v>
      </c>
      <c r="H192" s="2">
        <v>3675.0</v>
      </c>
      <c r="I192" s="2" t="s">
        <v>10</v>
      </c>
      <c r="J192" s="2">
        <f t="shared" si="3"/>
        <v>0</v>
      </c>
    </row>
    <row r="193" ht="15.75" customHeight="1">
      <c r="A193" s="1" t="s">
        <v>14</v>
      </c>
      <c r="B193" s="1">
        <f t="shared" si="1"/>
        <v>2</v>
      </c>
      <c r="C193" s="2" t="s">
        <v>13</v>
      </c>
      <c r="D193" s="2">
        <f t="shared" si="2"/>
        <v>3</v>
      </c>
      <c r="E193" s="2">
        <v>50.8</v>
      </c>
      <c r="F193" s="2">
        <v>18.5</v>
      </c>
      <c r="G193" s="2">
        <v>201.0</v>
      </c>
      <c r="H193" s="2">
        <v>4450.0</v>
      </c>
      <c r="I193" s="2" t="s">
        <v>9</v>
      </c>
      <c r="J193" s="2">
        <f t="shared" si="3"/>
        <v>1</v>
      </c>
    </row>
    <row r="194" ht="15.75" customHeight="1">
      <c r="A194" s="1" t="s">
        <v>14</v>
      </c>
      <c r="B194" s="1">
        <f t="shared" si="1"/>
        <v>2</v>
      </c>
      <c r="C194" s="2" t="s">
        <v>13</v>
      </c>
      <c r="D194" s="2">
        <f t="shared" si="2"/>
        <v>3</v>
      </c>
      <c r="E194" s="2">
        <v>50.1</v>
      </c>
      <c r="F194" s="2">
        <v>17.9</v>
      </c>
      <c r="G194" s="2">
        <v>190.0</v>
      </c>
      <c r="H194" s="2">
        <v>3400.0</v>
      </c>
      <c r="I194" s="2" t="s">
        <v>10</v>
      </c>
      <c r="J194" s="2">
        <f t="shared" si="3"/>
        <v>0</v>
      </c>
    </row>
    <row r="195" ht="15.75" customHeight="1">
      <c r="A195" s="1" t="s">
        <v>14</v>
      </c>
      <c r="B195" s="1">
        <f t="shared" si="1"/>
        <v>2</v>
      </c>
      <c r="C195" s="2" t="s">
        <v>13</v>
      </c>
      <c r="D195" s="2">
        <f t="shared" si="2"/>
        <v>3</v>
      </c>
      <c r="E195" s="2">
        <v>49.0</v>
      </c>
      <c r="F195" s="2">
        <v>19.6</v>
      </c>
      <c r="G195" s="2">
        <v>212.0</v>
      </c>
      <c r="H195" s="2">
        <v>4300.0</v>
      </c>
      <c r="I195" s="2" t="s">
        <v>9</v>
      </c>
      <c r="J195" s="2">
        <f t="shared" si="3"/>
        <v>1</v>
      </c>
    </row>
    <row r="196" ht="15.75" customHeight="1">
      <c r="A196" s="1" t="s">
        <v>14</v>
      </c>
      <c r="B196" s="1">
        <f t="shared" si="1"/>
        <v>2</v>
      </c>
      <c r="C196" s="2" t="s">
        <v>13</v>
      </c>
      <c r="D196" s="2">
        <f t="shared" si="2"/>
        <v>3</v>
      </c>
      <c r="E196" s="2">
        <v>51.5</v>
      </c>
      <c r="F196" s="2">
        <v>18.7</v>
      </c>
      <c r="G196" s="2">
        <v>187.0</v>
      </c>
      <c r="H196" s="2">
        <v>3250.0</v>
      </c>
      <c r="I196" s="2" t="s">
        <v>9</v>
      </c>
      <c r="J196" s="2">
        <f t="shared" si="3"/>
        <v>1</v>
      </c>
    </row>
    <row r="197" ht="15.75" customHeight="1">
      <c r="A197" s="1" t="s">
        <v>14</v>
      </c>
      <c r="B197" s="1">
        <f t="shared" si="1"/>
        <v>2</v>
      </c>
      <c r="C197" s="2" t="s">
        <v>13</v>
      </c>
      <c r="D197" s="2">
        <f t="shared" si="2"/>
        <v>3</v>
      </c>
      <c r="E197" s="2">
        <v>49.8</v>
      </c>
      <c r="F197" s="2">
        <v>17.3</v>
      </c>
      <c r="G197" s="2">
        <v>198.0</v>
      </c>
      <c r="H197" s="2">
        <v>3675.0</v>
      </c>
      <c r="I197" s="2" t="s">
        <v>10</v>
      </c>
      <c r="J197" s="2">
        <f t="shared" si="3"/>
        <v>0</v>
      </c>
    </row>
    <row r="198" ht="15.75" customHeight="1">
      <c r="A198" s="1" t="s">
        <v>14</v>
      </c>
      <c r="B198" s="1">
        <f t="shared" si="1"/>
        <v>2</v>
      </c>
      <c r="C198" s="2" t="s">
        <v>13</v>
      </c>
      <c r="D198" s="2">
        <f t="shared" si="2"/>
        <v>3</v>
      </c>
      <c r="E198" s="2">
        <v>48.1</v>
      </c>
      <c r="F198" s="2">
        <v>16.4</v>
      </c>
      <c r="G198" s="2">
        <v>199.0</v>
      </c>
      <c r="H198" s="2">
        <v>3325.0</v>
      </c>
      <c r="I198" s="2" t="s">
        <v>10</v>
      </c>
      <c r="J198" s="2">
        <f t="shared" si="3"/>
        <v>0</v>
      </c>
    </row>
    <row r="199" ht="15.75" customHeight="1">
      <c r="A199" s="1" t="s">
        <v>14</v>
      </c>
      <c r="B199" s="1">
        <f t="shared" si="1"/>
        <v>2</v>
      </c>
      <c r="C199" s="2" t="s">
        <v>13</v>
      </c>
      <c r="D199" s="2">
        <f t="shared" si="2"/>
        <v>3</v>
      </c>
      <c r="E199" s="2">
        <v>51.4</v>
      </c>
      <c r="F199" s="2">
        <v>19.0</v>
      </c>
      <c r="G199" s="2">
        <v>201.0</v>
      </c>
      <c r="H199" s="2">
        <v>3950.0</v>
      </c>
      <c r="I199" s="2" t="s">
        <v>9</v>
      </c>
      <c r="J199" s="2">
        <f t="shared" si="3"/>
        <v>1</v>
      </c>
    </row>
    <row r="200" ht="15.75" customHeight="1">
      <c r="A200" s="1" t="s">
        <v>14</v>
      </c>
      <c r="B200" s="1">
        <f t="shared" si="1"/>
        <v>2</v>
      </c>
      <c r="C200" s="2" t="s">
        <v>13</v>
      </c>
      <c r="D200" s="2">
        <f t="shared" si="2"/>
        <v>3</v>
      </c>
      <c r="E200" s="2">
        <v>45.7</v>
      </c>
      <c r="F200" s="2">
        <v>17.3</v>
      </c>
      <c r="G200" s="2">
        <v>193.0</v>
      </c>
      <c r="H200" s="2">
        <v>3600.0</v>
      </c>
      <c r="I200" s="2" t="s">
        <v>10</v>
      </c>
      <c r="J200" s="2">
        <f t="shared" si="3"/>
        <v>0</v>
      </c>
    </row>
    <row r="201" ht="15.75" customHeight="1">
      <c r="A201" s="1" t="s">
        <v>14</v>
      </c>
      <c r="B201" s="1">
        <f t="shared" si="1"/>
        <v>2</v>
      </c>
      <c r="C201" s="2" t="s">
        <v>13</v>
      </c>
      <c r="D201" s="2">
        <f t="shared" si="2"/>
        <v>3</v>
      </c>
      <c r="E201" s="2">
        <v>50.7</v>
      </c>
      <c r="F201" s="2">
        <v>19.7</v>
      </c>
      <c r="G201" s="2">
        <v>203.0</v>
      </c>
      <c r="H201" s="2">
        <v>4050.0</v>
      </c>
      <c r="I201" s="2" t="s">
        <v>9</v>
      </c>
      <c r="J201" s="2">
        <f t="shared" si="3"/>
        <v>1</v>
      </c>
    </row>
    <row r="202" ht="15.75" customHeight="1">
      <c r="A202" s="1" t="s">
        <v>14</v>
      </c>
      <c r="B202" s="1">
        <f t="shared" si="1"/>
        <v>2</v>
      </c>
      <c r="C202" s="2" t="s">
        <v>13</v>
      </c>
      <c r="D202" s="2">
        <f t="shared" si="2"/>
        <v>3</v>
      </c>
      <c r="E202" s="2">
        <v>42.5</v>
      </c>
      <c r="F202" s="2">
        <v>17.3</v>
      </c>
      <c r="G202" s="2">
        <v>187.0</v>
      </c>
      <c r="H202" s="2">
        <v>3350.0</v>
      </c>
      <c r="I202" s="2" t="s">
        <v>10</v>
      </c>
      <c r="J202" s="2">
        <f t="shared" si="3"/>
        <v>0</v>
      </c>
    </row>
    <row r="203" ht="15.75" customHeight="1">
      <c r="A203" s="1" t="s">
        <v>14</v>
      </c>
      <c r="B203" s="1">
        <f t="shared" si="1"/>
        <v>2</v>
      </c>
      <c r="C203" s="2" t="s">
        <v>13</v>
      </c>
      <c r="D203" s="2">
        <f t="shared" si="2"/>
        <v>3</v>
      </c>
      <c r="E203" s="2">
        <v>52.2</v>
      </c>
      <c r="F203" s="2">
        <v>18.8</v>
      </c>
      <c r="G203" s="2">
        <v>197.0</v>
      </c>
      <c r="H203" s="2">
        <v>3450.0</v>
      </c>
      <c r="I203" s="2" t="s">
        <v>9</v>
      </c>
      <c r="J203" s="2">
        <f t="shared" si="3"/>
        <v>1</v>
      </c>
    </row>
    <row r="204" ht="15.75" customHeight="1">
      <c r="A204" s="1" t="s">
        <v>14</v>
      </c>
      <c r="B204" s="1">
        <f t="shared" si="1"/>
        <v>2</v>
      </c>
      <c r="C204" s="2" t="s">
        <v>13</v>
      </c>
      <c r="D204" s="2">
        <f t="shared" si="2"/>
        <v>3</v>
      </c>
      <c r="E204" s="2">
        <v>45.2</v>
      </c>
      <c r="F204" s="2">
        <v>16.6</v>
      </c>
      <c r="G204" s="2">
        <v>191.0</v>
      </c>
      <c r="H204" s="2">
        <v>3250.0</v>
      </c>
      <c r="I204" s="2" t="s">
        <v>10</v>
      </c>
      <c r="J204" s="2">
        <f t="shared" si="3"/>
        <v>0</v>
      </c>
    </row>
    <row r="205" ht="15.75" customHeight="1">
      <c r="A205" s="1" t="s">
        <v>14</v>
      </c>
      <c r="B205" s="1">
        <f t="shared" si="1"/>
        <v>2</v>
      </c>
      <c r="C205" s="2" t="s">
        <v>13</v>
      </c>
      <c r="D205" s="2">
        <f t="shared" si="2"/>
        <v>3</v>
      </c>
      <c r="E205" s="2">
        <v>49.3</v>
      </c>
      <c r="F205" s="2">
        <v>19.9</v>
      </c>
      <c r="G205" s="2">
        <v>203.0</v>
      </c>
      <c r="H205" s="2">
        <v>4050.0</v>
      </c>
      <c r="I205" s="2" t="s">
        <v>9</v>
      </c>
      <c r="J205" s="2">
        <f t="shared" si="3"/>
        <v>1</v>
      </c>
    </row>
    <row r="206" ht="15.75" customHeight="1">
      <c r="A206" s="1" t="s">
        <v>14</v>
      </c>
      <c r="B206" s="1">
        <f t="shared" si="1"/>
        <v>2</v>
      </c>
      <c r="C206" s="2" t="s">
        <v>13</v>
      </c>
      <c r="D206" s="2">
        <f t="shared" si="2"/>
        <v>3</v>
      </c>
      <c r="E206" s="2">
        <v>50.2</v>
      </c>
      <c r="F206" s="2">
        <v>18.8</v>
      </c>
      <c r="G206" s="2">
        <v>202.0</v>
      </c>
      <c r="H206" s="2">
        <v>3800.0</v>
      </c>
      <c r="I206" s="2" t="s">
        <v>9</v>
      </c>
      <c r="J206" s="2">
        <f t="shared" si="3"/>
        <v>1</v>
      </c>
    </row>
    <row r="207" ht="15.75" customHeight="1">
      <c r="A207" s="1" t="s">
        <v>14</v>
      </c>
      <c r="B207" s="1">
        <f t="shared" si="1"/>
        <v>2</v>
      </c>
      <c r="C207" s="2" t="s">
        <v>13</v>
      </c>
      <c r="D207" s="2">
        <f t="shared" si="2"/>
        <v>3</v>
      </c>
      <c r="E207" s="2">
        <v>45.6</v>
      </c>
      <c r="F207" s="2">
        <v>19.4</v>
      </c>
      <c r="G207" s="2">
        <v>194.0</v>
      </c>
      <c r="H207" s="2">
        <v>3525.0</v>
      </c>
      <c r="I207" s="2" t="s">
        <v>10</v>
      </c>
      <c r="J207" s="2">
        <f t="shared" si="3"/>
        <v>0</v>
      </c>
    </row>
    <row r="208" ht="15.75" customHeight="1">
      <c r="A208" s="1" t="s">
        <v>14</v>
      </c>
      <c r="B208" s="1">
        <f t="shared" si="1"/>
        <v>2</v>
      </c>
      <c r="C208" s="2" t="s">
        <v>13</v>
      </c>
      <c r="D208" s="2">
        <f t="shared" si="2"/>
        <v>3</v>
      </c>
      <c r="E208" s="2">
        <v>51.9</v>
      </c>
      <c r="F208" s="2">
        <v>19.5</v>
      </c>
      <c r="G208" s="2">
        <v>206.0</v>
      </c>
      <c r="H208" s="2">
        <v>3950.0</v>
      </c>
      <c r="I208" s="2" t="s">
        <v>9</v>
      </c>
      <c r="J208" s="2">
        <f t="shared" si="3"/>
        <v>1</v>
      </c>
    </row>
    <row r="209" ht="15.75" customHeight="1">
      <c r="A209" s="1" t="s">
        <v>14</v>
      </c>
      <c r="B209" s="1">
        <f t="shared" si="1"/>
        <v>2</v>
      </c>
      <c r="C209" s="2" t="s">
        <v>13</v>
      </c>
      <c r="D209" s="2">
        <f t="shared" si="2"/>
        <v>3</v>
      </c>
      <c r="E209" s="2">
        <v>46.8</v>
      </c>
      <c r="F209" s="2">
        <v>16.5</v>
      </c>
      <c r="G209" s="2">
        <v>189.0</v>
      </c>
      <c r="H209" s="2">
        <v>3650.0</v>
      </c>
      <c r="I209" s="2" t="s">
        <v>10</v>
      </c>
      <c r="J209" s="2">
        <f t="shared" si="3"/>
        <v>0</v>
      </c>
    </row>
    <row r="210" ht="15.75" customHeight="1">
      <c r="A210" s="1" t="s">
        <v>14</v>
      </c>
      <c r="B210" s="1">
        <f t="shared" si="1"/>
        <v>2</v>
      </c>
      <c r="C210" s="2" t="s">
        <v>13</v>
      </c>
      <c r="D210" s="2">
        <f t="shared" si="2"/>
        <v>3</v>
      </c>
      <c r="E210" s="2">
        <v>45.7</v>
      </c>
      <c r="F210" s="2">
        <v>17.0</v>
      </c>
      <c r="G210" s="2">
        <v>195.0</v>
      </c>
      <c r="H210" s="2">
        <v>3650.0</v>
      </c>
      <c r="I210" s="2" t="s">
        <v>10</v>
      </c>
      <c r="J210" s="2">
        <f t="shared" si="3"/>
        <v>0</v>
      </c>
    </row>
    <row r="211" ht="15.75" customHeight="1">
      <c r="A211" s="1" t="s">
        <v>14</v>
      </c>
      <c r="B211" s="1">
        <f t="shared" si="1"/>
        <v>2</v>
      </c>
      <c r="C211" s="2" t="s">
        <v>13</v>
      </c>
      <c r="D211" s="2">
        <f t="shared" si="2"/>
        <v>3</v>
      </c>
      <c r="E211" s="2">
        <v>55.8</v>
      </c>
      <c r="F211" s="2">
        <v>19.8</v>
      </c>
      <c r="G211" s="2">
        <v>207.0</v>
      </c>
      <c r="H211" s="2">
        <v>4000.0</v>
      </c>
      <c r="I211" s="2" t="s">
        <v>9</v>
      </c>
      <c r="J211" s="2">
        <f t="shared" si="3"/>
        <v>1</v>
      </c>
    </row>
    <row r="212" ht="15.75" customHeight="1">
      <c r="A212" s="1" t="s">
        <v>14</v>
      </c>
      <c r="B212" s="1">
        <f t="shared" si="1"/>
        <v>2</v>
      </c>
      <c r="C212" s="2" t="s">
        <v>13</v>
      </c>
      <c r="D212" s="2">
        <f t="shared" si="2"/>
        <v>3</v>
      </c>
      <c r="E212" s="2">
        <v>43.5</v>
      </c>
      <c r="F212" s="2">
        <v>18.1</v>
      </c>
      <c r="G212" s="2">
        <v>202.0</v>
      </c>
      <c r="H212" s="2">
        <v>3400.0</v>
      </c>
      <c r="I212" s="2" t="s">
        <v>10</v>
      </c>
      <c r="J212" s="2">
        <f t="shared" si="3"/>
        <v>0</v>
      </c>
    </row>
    <row r="213" ht="15.75" customHeight="1">
      <c r="A213" s="1" t="s">
        <v>14</v>
      </c>
      <c r="B213" s="1">
        <f t="shared" si="1"/>
        <v>2</v>
      </c>
      <c r="C213" s="2" t="s">
        <v>13</v>
      </c>
      <c r="D213" s="2">
        <f t="shared" si="2"/>
        <v>3</v>
      </c>
      <c r="E213" s="2">
        <v>49.6</v>
      </c>
      <c r="F213" s="2">
        <v>18.2</v>
      </c>
      <c r="G213" s="2">
        <v>193.0</v>
      </c>
      <c r="H213" s="2">
        <v>3775.0</v>
      </c>
      <c r="I213" s="2" t="s">
        <v>9</v>
      </c>
      <c r="J213" s="2">
        <f t="shared" si="3"/>
        <v>1</v>
      </c>
    </row>
    <row r="214" ht="15.75" customHeight="1">
      <c r="A214" s="1" t="s">
        <v>14</v>
      </c>
      <c r="B214" s="1">
        <f t="shared" si="1"/>
        <v>2</v>
      </c>
      <c r="C214" s="2" t="s">
        <v>13</v>
      </c>
      <c r="D214" s="2">
        <f t="shared" si="2"/>
        <v>3</v>
      </c>
      <c r="E214" s="2">
        <v>50.8</v>
      </c>
      <c r="F214" s="2">
        <v>19.0</v>
      </c>
      <c r="G214" s="2">
        <v>210.0</v>
      </c>
      <c r="H214" s="2">
        <v>4100.0</v>
      </c>
      <c r="I214" s="2" t="s">
        <v>9</v>
      </c>
      <c r="J214" s="2">
        <f t="shared" si="3"/>
        <v>1</v>
      </c>
    </row>
    <row r="215" ht="15.75" customHeight="1">
      <c r="A215" s="1" t="s">
        <v>14</v>
      </c>
      <c r="B215" s="1">
        <f t="shared" si="1"/>
        <v>2</v>
      </c>
      <c r="C215" s="2" t="s">
        <v>13</v>
      </c>
      <c r="D215" s="2">
        <f t="shared" si="2"/>
        <v>3</v>
      </c>
      <c r="E215" s="2">
        <v>50.2</v>
      </c>
      <c r="F215" s="2">
        <v>18.7</v>
      </c>
      <c r="G215" s="2">
        <v>198.0</v>
      </c>
      <c r="H215" s="2">
        <v>3775.0</v>
      </c>
      <c r="I215" s="2" t="s">
        <v>10</v>
      </c>
      <c r="J215" s="2">
        <f t="shared" si="3"/>
        <v>0</v>
      </c>
    </row>
    <row r="216" ht="15.75" customHeight="1">
      <c r="A216" s="1" t="s">
        <v>15</v>
      </c>
      <c r="B216" s="1">
        <f t="shared" si="1"/>
        <v>3</v>
      </c>
      <c r="C216" s="2" t="s">
        <v>12</v>
      </c>
      <c r="D216" s="2">
        <f t="shared" si="2"/>
        <v>2</v>
      </c>
      <c r="E216" s="2">
        <v>46.1</v>
      </c>
      <c r="F216" s="2">
        <v>13.2</v>
      </c>
      <c r="G216" s="2">
        <v>211.0</v>
      </c>
      <c r="H216" s="2">
        <v>4500.0</v>
      </c>
      <c r="I216" s="2" t="s">
        <v>10</v>
      </c>
      <c r="J216" s="2">
        <f t="shared" si="3"/>
        <v>0</v>
      </c>
    </row>
    <row r="217" ht="15.75" customHeight="1">
      <c r="A217" s="1" t="s">
        <v>15</v>
      </c>
      <c r="B217" s="1">
        <f t="shared" si="1"/>
        <v>3</v>
      </c>
      <c r="C217" s="2" t="s">
        <v>12</v>
      </c>
      <c r="D217" s="2">
        <f t="shared" si="2"/>
        <v>2</v>
      </c>
      <c r="E217" s="2">
        <v>50.0</v>
      </c>
      <c r="F217" s="2">
        <v>16.3</v>
      </c>
      <c r="G217" s="2">
        <v>230.0</v>
      </c>
      <c r="H217" s="2">
        <v>5700.0</v>
      </c>
      <c r="I217" s="2" t="s">
        <v>9</v>
      </c>
      <c r="J217" s="2">
        <f t="shared" si="3"/>
        <v>1</v>
      </c>
    </row>
    <row r="218" ht="15.75" customHeight="1">
      <c r="A218" s="1" t="s">
        <v>15</v>
      </c>
      <c r="B218" s="1">
        <f t="shared" si="1"/>
        <v>3</v>
      </c>
      <c r="C218" s="2" t="s">
        <v>12</v>
      </c>
      <c r="D218" s="2">
        <f t="shared" si="2"/>
        <v>2</v>
      </c>
      <c r="E218" s="2">
        <v>48.7</v>
      </c>
      <c r="F218" s="2">
        <v>14.1</v>
      </c>
      <c r="G218" s="2">
        <v>210.0</v>
      </c>
      <c r="H218" s="2">
        <v>4450.0</v>
      </c>
      <c r="I218" s="2" t="s">
        <v>10</v>
      </c>
      <c r="J218" s="2">
        <f t="shared" si="3"/>
        <v>0</v>
      </c>
    </row>
    <row r="219" ht="15.75" customHeight="1">
      <c r="A219" s="1" t="s">
        <v>15</v>
      </c>
      <c r="B219" s="1">
        <f t="shared" si="1"/>
        <v>3</v>
      </c>
      <c r="C219" s="2" t="s">
        <v>12</v>
      </c>
      <c r="D219" s="2">
        <f t="shared" si="2"/>
        <v>2</v>
      </c>
      <c r="E219" s="2">
        <v>50.0</v>
      </c>
      <c r="F219" s="2">
        <v>15.2</v>
      </c>
      <c r="G219" s="2">
        <v>218.0</v>
      </c>
      <c r="H219" s="2">
        <v>5700.0</v>
      </c>
      <c r="I219" s="2" t="s">
        <v>9</v>
      </c>
      <c r="J219" s="2">
        <f t="shared" si="3"/>
        <v>1</v>
      </c>
    </row>
    <row r="220" ht="15.75" customHeight="1">
      <c r="A220" s="1" t="s">
        <v>15</v>
      </c>
      <c r="B220" s="1">
        <f t="shared" si="1"/>
        <v>3</v>
      </c>
      <c r="C220" s="2" t="s">
        <v>12</v>
      </c>
      <c r="D220" s="2">
        <f t="shared" si="2"/>
        <v>2</v>
      </c>
      <c r="E220" s="2">
        <v>47.6</v>
      </c>
      <c r="F220" s="2">
        <v>14.5</v>
      </c>
      <c r="G220" s="2">
        <v>215.0</v>
      </c>
      <c r="H220" s="2">
        <v>5400.0</v>
      </c>
      <c r="I220" s="2" t="s">
        <v>9</v>
      </c>
      <c r="J220" s="2">
        <f t="shared" si="3"/>
        <v>1</v>
      </c>
    </row>
    <row r="221" ht="15.75" customHeight="1">
      <c r="A221" s="1" t="s">
        <v>15</v>
      </c>
      <c r="B221" s="1">
        <f t="shared" si="1"/>
        <v>3</v>
      </c>
      <c r="C221" s="2" t="s">
        <v>12</v>
      </c>
      <c r="D221" s="2">
        <f t="shared" si="2"/>
        <v>2</v>
      </c>
      <c r="E221" s="2">
        <v>46.5</v>
      </c>
      <c r="F221" s="2">
        <v>13.5</v>
      </c>
      <c r="G221" s="2">
        <v>210.0</v>
      </c>
      <c r="H221" s="2">
        <v>4550.0</v>
      </c>
      <c r="I221" s="2" t="s">
        <v>10</v>
      </c>
      <c r="J221" s="2">
        <f t="shared" si="3"/>
        <v>0</v>
      </c>
    </row>
    <row r="222" ht="15.75" customHeight="1">
      <c r="A222" s="1" t="s">
        <v>15</v>
      </c>
      <c r="B222" s="1">
        <f t="shared" si="1"/>
        <v>3</v>
      </c>
      <c r="C222" s="2" t="s">
        <v>12</v>
      </c>
      <c r="D222" s="2">
        <f t="shared" si="2"/>
        <v>2</v>
      </c>
      <c r="E222" s="2">
        <v>45.4</v>
      </c>
      <c r="F222" s="2">
        <v>14.6</v>
      </c>
      <c r="G222" s="2">
        <v>211.0</v>
      </c>
      <c r="H222" s="2">
        <v>4800.0</v>
      </c>
      <c r="I222" s="2" t="s">
        <v>10</v>
      </c>
      <c r="J222" s="2">
        <f t="shared" si="3"/>
        <v>0</v>
      </c>
    </row>
    <row r="223" ht="15.75" customHeight="1">
      <c r="A223" s="1" t="s">
        <v>15</v>
      </c>
      <c r="B223" s="1">
        <f t="shared" si="1"/>
        <v>3</v>
      </c>
      <c r="C223" s="2" t="s">
        <v>12</v>
      </c>
      <c r="D223" s="2">
        <f t="shared" si="2"/>
        <v>2</v>
      </c>
      <c r="E223" s="2">
        <v>46.7</v>
      </c>
      <c r="F223" s="2">
        <v>15.3</v>
      </c>
      <c r="G223" s="2">
        <v>219.0</v>
      </c>
      <c r="H223" s="2">
        <v>5200.0</v>
      </c>
      <c r="I223" s="2" t="s">
        <v>9</v>
      </c>
      <c r="J223" s="2">
        <f t="shared" si="3"/>
        <v>1</v>
      </c>
    </row>
    <row r="224" ht="15.75" customHeight="1">
      <c r="A224" s="1" t="s">
        <v>15</v>
      </c>
      <c r="B224" s="1">
        <f t="shared" si="1"/>
        <v>3</v>
      </c>
      <c r="C224" s="2" t="s">
        <v>12</v>
      </c>
      <c r="D224" s="2">
        <f t="shared" si="2"/>
        <v>2</v>
      </c>
      <c r="E224" s="2">
        <v>43.3</v>
      </c>
      <c r="F224" s="2">
        <v>13.4</v>
      </c>
      <c r="G224" s="2">
        <v>209.0</v>
      </c>
      <c r="H224" s="2">
        <v>4400.0</v>
      </c>
      <c r="I224" s="2" t="s">
        <v>10</v>
      </c>
      <c r="J224" s="2">
        <f t="shared" si="3"/>
        <v>0</v>
      </c>
    </row>
    <row r="225" ht="15.75" customHeight="1">
      <c r="A225" s="1" t="s">
        <v>15</v>
      </c>
      <c r="B225" s="1">
        <f t="shared" si="1"/>
        <v>3</v>
      </c>
      <c r="C225" s="2" t="s">
        <v>12</v>
      </c>
      <c r="D225" s="2">
        <f t="shared" si="2"/>
        <v>2</v>
      </c>
      <c r="E225" s="2">
        <v>46.8</v>
      </c>
      <c r="F225" s="2">
        <v>15.4</v>
      </c>
      <c r="G225" s="2">
        <v>215.0</v>
      </c>
      <c r="H225" s="2">
        <v>5150.0</v>
      </c>
      <c r="I225" s="2" t="s">
        <v>9</v>
      </c>
      <c r="J225" s="2">
        <f t="shared" si="3"/>
        <v>1</v>
      </c>
    </row>
    <row r="226" ht="15.75" customHeight="1">
      <c r="A226" s="1" t="s">
        <v>15</v>
      </c>
      <c r="B226" s="1">
        <f t="shared" si="1"/>
        <v>3</v>
      </c>
      <c r="C226" s="2" t="s">
        <v>12</v>
      </c>
      <c r="D226" s="2">
        <f t="shared" si="2"/>
        <v>2</v>
      </c>
      <c r="E226" s="2">
        <v>40.9</v>
      </c>
      <c r="F226" s="2">
        <v>13.7</v>
      </c>
      <c r="G226" s="2">
        <v>214.0</v>
      </c>
      <c r="H226" s="2">
        <v>4650.0</v>
      </c>
      <c r="I226" s="2" t="s">
        <v>10</v>
      </c>
      <c r="J226" s="2">
        <f t="shared" si="3"/>
        <v>0</v>
      </c>
    </row>
    <row r="227" ht="15.75" customHeight="1">
      <c r="A227" s="1" t="s">
        <v>15</v>
      </c>
      <c r="B227" s="1">
        <f t="shared" si="1"/>
        <v>3</v>
      </c>
      <c r="C227" s="2" t="s">
        <v>12</v>
      </c>
      <c r="D227" s="2">
        <f t="shared" si="2"/>
        <v>2</v>
      </c>
      <c r="E227" s="2">
        <v>49.0</v>
      </c>
      <c r="F227" s="2">
        <v>16.1</v>
      </c>
      <c r="G227" s="2">
        <v>216.0</v>
      </c>
      <c r="H227" s="2">
        <v>5550.0</v>
      </c>
      <c r="I227" s="2" t="s">
        <v>9</v>
      </c>
      <c r="J227" s="2">
        <f t="shared" si="3"/>
        <v>1</v>
      </c>
    </row>
    <row r="228" ht="15.75" customHeight="1">
      <c r="A228" s="1" t="s">
        <v>15</v>
      </c>
      <c r="B228" s="1">
        <f t="shared" si="1"/>
        <v>3</v>
      </c>
      <c r="C228" s="2" t="s">
        <v>12</v>
      </c>
      <c r="D228" s="2">
        <f t="shared" si="2"/>
        <v>2</v>
      </c>
      <c r="E228" s="2">
        <v>45.5</v>
      </c>
      <c r="F228" s="2">
        <v>13.7</v>
      </c>
      <c r="G228" s="2">
        <v>214.0</v>
      </c>
      <c r="H228" s="2">
        <v>4650.0</v>
      </c>
      <c r="I228" s="2" t="s">
        <v>10</v>
      </c>
      <c r="J228" s="2">
        <f t="shared" si="3"/>
        <v>0</v>
      </c>
    </row>
    <row r="229" ht="15.75" customHeight="1">
      <c r="A229" s="1" t="s">
        <v>15</v>
      </c>
      <c r="B229" s="1">
        <f t="shared" si="1"/>
        <v>3</v>
      </c>
      <c r="C229" s="2" t="s">
        <v>12</v>
      </c>
      <c r="D229" s="2">
        <f t="shared" si="2"/>
        <v>2</v>
      </c>
      <c r="E229" s="2">
        <v>48.4</v>
      </c>
      <c r="F229" s="2">
        <v>14.6</v>
      </c>
      <c r="G229" s="2">
        <v>213.0</v>
      </c>
      <c r="H229" s="2">
        <v>5850.0</v>
      </c>
      <c r="I229" s="2" t="s">
        <v>9</v>
      </c>
      <c r="J229" s="2">
        <f t="shared" si="3"/>
        <v>1</v>
      </c>
    </row>
    <row r="230" ht="15.75" customHeight="1">
      <c r="A230" s="1" t="s">
        <v>15</v>
      </c>
      <c r="B230" s="1">
        <f t="shared" si="1"/>
        <v>3</v>
      </c>
      <c r="C230" s="2" t="s">
        <v>12</v>
      </c>
      <c r="D230" s="2">
        <f t="shared" si="2"/>
        <v>2</v>
      </c>
      <c r="E230" s="2">
        <v>45.8</v>
      </c>
      <c r="F230" s="2">
        <v>14.6</v>
      </c>
      <c r="G230" s="2">
        <v>210.0</v>
      </c>
      <c r="H230" s="2">
        <v>4200.0</v>
      </c>
      <c r="I230" s="2" t="s">
        <v>10</v>
      </c>
      <c r="J230" s="2">
        <f t="shared" si="3"/>
        <v>0</v>
      </c>
    </row>
    <row r="231" ht="15.75" customHeight="1">
      <c r="A231" s="1" t="s">
        <v>15</v>
      </c>
      <c r="B231" s="1">
        <f t="shared" si="1"/>
        <v>3</v>
      </c>
      <c r="C231" s="2" t="s">
        <v>12</v>
      </c>
      <c r="D231" s="2">
        <f t="shared" si="2"/>
        <v>2</v>
      </c>
      <c r="E231" s="2">
        <v>49.3</v>
      </c>
      <c r="F231" s="2">
        <v>15.7</v>
      </c>
      <c r="G231" s="2">
        <v>217.0</v>
      </c>
      <c r="H231" s="2">
        <v>5850.0</v>
      </c>
      <c r="I231" s="2" t="s">
        <v>9</v>
      </c>
      <c r="J231" s="2">
        <f t="shared" si="3"/>
        <v>1</v>
      </c>
    </row>
    <row r="232" ht="15.75" customHeight="1">
      <c r="A232" s="1" t="s">
        <v>15</v>
      </c>
      <c r="B232" s="1">
        <f t="shared" si="1"/>
        <v>3</v>
      </c>
      <c r="C232" s="2" t="s">
        <v>12</v>
      </c>
      <c r="D232" s="2">
        <f t="shared" si="2"/>
        <v>2</v>
      </c>
      <c r="E232" s="2">
        <v>42.0</v>
      </c>
      <c r="F232" s="2">
        <v>13.5</v>
      </c>
      <c r="G232" s="2">
        <v>210.0</v>
      </c>
      <c r="H232" s="2">
        <v>4150.0</v>
      </c>
      <c r="I232" s="2" t="s">
        <v>10</v>
      </c>
      <c r="J232" s="2">
        <f t="shared" si="3"/>
        <v>0</v>
      </c>
    </row>
    <row r="233" ht="15.75" customHeight="1">
      <c r="A233" s="1" t="s">
        <v>15</v>
      </c>
      <c r="B233" s="1">
        <f t="shared" si="1"/>
        <v>3</v>
      </c>
      <c r="C233" s="2" t="s">
        <v>12</v>
      </c>
      <c r="D233" s="2">
        <f t="shared" si="2"/>
        <v>2</v>
      </c>
      <c r="E233" s="2">
        <v>49.2</v>
      </c>
      <c r="F233" s="2">
        <v>15.2</v>
      </c>
      <c r="G233" s="2">
        <v>221.0</v>
      </c>
      <c r="H233" s="2">
        <v>6300.0</v>
      </c>
      <c r="I233" s="2" t="s">
        <v>9</v>
      </c>
      <c r="J233" s="2">
        <f t="shared" si="3"/>
        <v>1</v>
      </c>
    </row>
    <row r="234" ht="15.75" customHeight="1">
      <c r="A234" s="1" t="s">
        <v>15</v>
      </c>
      <c r="B234" s="1">
        <f t="shared" si="1"/>
        <v>3</v>
      </c>
      <c r="C234" s="2" t="s">
        <v>12</v>
      </c>
      <c r="D234" s="2">
        <f t="shared" si="2"/>
        <v>2</v>
      </c>
      <c r="E234" s="2">
        <v>46.2</v>
      </c>
      <c r="F234" s="2">
        <v>14.5</v>
      </c>
      <c r="G234" s="2">
        <v>209.0</v>
      </c>
      <c r="H234" s="2">
        <v>4800.0</v>
      </c>
      <c r="I234" s="2" t="s">
        <v>10</v>
      </c>
      <c r="J234" s="2">
        <f t="shared" si="3"/>
        <v>0</v>
      </c>
    </row>
    <row r="235" ht="15.75" customHeight="1">
      <c r="A235" s="1" t="s">
        <v>15</v>
      </c>
      <c r="B235" s="1">
        <f t="shared" si="1"/>
        <v>3</v>
      </c>
      <c r="C235" s="2" t="s">
        <v>12</v>
      </c>
      <c r="D235" s="2">
        <f t="shared" si="2"/>
        <v>2</v>
      </c>
      <c r="E235" s="2">
        <v>48.7</v>
      </c>
      <c r="F235" s="2">
        <v>15.1</v>
      </c>
      <c r="G235" s="2">
        <v>222.0</v>
      </c>
      <c r="H235" s="2">
        <v>5350.0</v>
      </c>
      <c r="I235" s="2" t="s">
        <v>9</v>
      </c>
      <c r="J235" s="2">
        <f t="shared" si="3"/>
        <v>1</v>
      </c>
    </row>
    <row r="236" ht="15.75" customHeight="1">
      <c r="A236" s="1" t="s">
        <v>15</v>
      </c>
      <c r="B236" s="1">
        <f t="shared" si="1"/>
        <v>3</v>
      </c>
      <c r="C236" s="2" t="s">
        <v>12</v>
      </c>
      <c r="D236" s="2">
        <f t="shared" si="2"/>
        <v>2</v>
      </c>
      <c r="E236" s="2">
        <v>50.2</v>
      </c>
      <c r="F236" s="2">
        <v>14.3</v>
      </c>
      <c r="G236" s="2">
        <v>218.0</v>
      </c>
      <c r="H236" s="2">
        <v>5700.0</v>
      </c>
      <c r="I236" s="2" t="s">
        <v>9</v>
      </c>
      <c r="J236" s="2">
        <f t="shared" si="3"/>
        <v>1</v>
      </c>
    </row>
    <row r="237" ht="15.75" customHeight="1">
      <c r="A237" s="1" t="s">
        <v>15</v>
      </c>
      <c r="B237" s="1">
        <f t="shared" si="1"/>
        <v>3</v>
      </c>
      <c r="C237" s="2" t="s">
        <v>12</v>
      </c>
      <c r="D237" s="2">
        <f t="shared" si="2"/>
        <v>2</v>
      </c>
      <c r="E237" s="2">
        <v>45.1</v>
      </c>
      <c r="F237" s="2">
        <v>14.5</v>
      </c>
      <c r="G237" s="2">
        <v>215.0</v>
      </c>
      <c r="H237" s="2">
        <v>5000.0</v>
      </c>
      <c r="I237" s="2" t="s">
        <v>10</v>
      </c>
      <c r="J237" s="2">
        <f t="shared" si="3"/>
        <v>0</v>
      </c>
    </row>
    <row r="238" ht="15.75" customHeight="1">
      <c r="A238" s="1" t="s">
        <v>15</v>
      </c>
      <c r="B238" s="1">
        <f t="shared" si="1"/>
        <v>3</v>
      </c>
      <c r="C238" s="2" t="s">
        <v>12</v>
      </c>
      <c r="D238" s="2">
        <f t="shared" si="2"/>
        <v>2</v>
      </c>
      <c r="E238" s="2">
        <v>46.5</v>
      </c>
      <c r="F238" s="2">
        <v>14.5</v>
      </c>
      <c r="G238" s="2">
        <v>213.0</v>
      </c>
      <c r="H238" s="2">
        <v>4400.0</v>
      </c>
      <c r="I238" s="2" t="s">
        <v>10</v>
      </c>
      <c r="J238" s="2">
        <f t="shared" si="3"/>
        <v>0</v>
      </c>
    </row>
    <row r="239" ht="15.75" customHeight="1">
      <c r="A239" s="1" t="s">
        <v>15</v>
      </c>
      <c r="B239" s="1">
        <f t="shared" si="1"/>
        <v>3</v>
      </c>
      <c r="C239" s="2" t="s">
        <v>12</v>
      </c>
      <c r="D239" s="2">
        <f t="shared" si="2"/>
        <v>2</v>
      </c>
      <c r="E239" s="2">
        <v>46.3</v>
      </c>
      <c r="F239" s="2">
        <v>15.8</v>
      </c>
      <c r="G239" s="2">
        <v>215.0</v>
      </c>
      <c r="H239" s="2">
        <v>5050.0</v>
      </c>
      <c r="I239" s="2" t="s">
        <v>9</v>
      </c>
      <c r="J239" s="2">
        <f t="shared" si="3"/>
        <v>1</v>
      </c>
    </row>
    <row r="240" ht="15.75" customHeight="1">
      <c r="A240" s="1" t="s">
        <v>15</v>
      </c>
      <c r="B240" s="1">
        <f t="shared" si="1"/>
        <v>3</v>
      </c>
      <c r="C240" s="2" t="s">
        <v>12</v>
      </c>
      <c r="D240" s="2">
        <f t="shared" si="2"/>
        <v>2</v>
      </c>
      <c r="E240" s="2">
        <v>42.9</v>
      </c>
      <c r="F240" s="2">
        <v>13.1</v>
      </c>
      <c r="G240" s="2">
        <v>215.0</v>
      </c>
      <c r="H240" s="2">
        <v>5000.0</v>
      </c>
      <c r="I240" s="2" t="s">
        <v>10</v>
      </c>
      <c r="J240" s="2">
        <f t="shared" si="3"/>
        <v>0</v>
      </c>
    </row>
    <row r="241" ht="15.75" customHeight="1">
      <c r="A241" s="1" t="s">
        <v>15</v>
      </c>
      <c r="B241" s="1">
        <f t="shared" si="1"/>
        <v>3</v>
      </c>
      <c r="C241" s="2" t="s">
        <v>12</v>
      </c>
      <c r="D241" s="2">
        <f t="shared" si="2"/>
        <v>2</v>
      </c>
      <c r="E241" s="2">
        <v>46.1</v>
      </c>
      <c r="F241" s="2">
        <v>15.1</v>
      </c>
      <c r="G241" s="2">
        <v>215.0</v>
      </c>
      <c r="H241" s="2">
        <v>5100.0</v>
      </c>
      <c r="I241" s="2" t="s">
        <v>9</v>
      </c>
      <c r="J241" s="2">
        <f t="shared" si="3"/>
        <v>1</v>
      </c>
    </row>
    <row r="242" ht="15.75" customHeight="1">
      <c r="A242" s="1" t="s">
        <v>15</v>
      </c>
      <c r="B242" s="1">
        <f t="shared" si="1"/>
        <v>3</v>
      </c>
      <c r="C242" s="2" t="s">
        <v>12</v>
      </c>
      <c r="D242" s="2">
        <f t="shared" si="2"/>
        <v>2</v>
      </c>
      <c r="E242" s="2">
        <v>47.8</v>
      </c>
      <c r="F242" s="2">
        <v>15.0</v>
      </c>
      <c r="G242" s="2">
        <v>215.0</v>
      </c>
      <c r="H242" s="2">
        <v>5650.0</v>
      </c>
      <c r="I242" s="2" t="s">
        <v>9</v>
      </c>
      <c r="J242" s="2">
        <f t="shared" si="3"/>
        <v>1</v>
      </c>
    </row>
    <row r="243" ht="15.75" customHeight="1">
      <c r="A243" s="1" t="s">
        <v>15</v>
      </c>
      <c r="B243" s="1">
        <f t="shared" si="1"/>
        <v>3</v>
      </c>
      <c r="C243" s="2" t="s">
        <v>12</v>
      </c>
      <c r="D243" s="2">
        <f t="shared" si="2"/>
        <v>2</v>
      </c>
      <c r="E243" s="2">
        <v>48.2</v>
      </c>
      <c r="F243" s="2">
        <v>14.3</v>
      </c>
      <c r="G243" s="2">
        <v>210.0</v>
      </c>
      <c r="H243" s="2">
        <v>4600.0</v>
      </c>
      <c r="I243" s="2" t="s">
        <v>10</v>
      </c>
      <c r="J243" s="2">
        <f t="shared" si="3"/>
        <v>0</v>
      </c>
    </row>
    <row r="244" ht="15.75" customHeight="1">
      <c r="A244" s="1" t="s">
        <v>15</v>
      </c>
      <c r="B244" s="1">
        <f t="shared" si="1"/>
        <v>3</v>
      </c>
      <c r="C244" s="2" t="s">
        <v>12</v>
      </c>
      <c r="D244" s="2">
        <f t="shared" si="2"/>
        <v>2</v>
      </c>
      <c r="E244" s="2">
        <v>50.0</v>
      </c>
      <c r="F244" s="2">
        <v>15.3</v>
      </c>
      <c r="G244" s="2">
        <v>220.0</v>
      </c>
      <c r="H244" s="2">
        <v>5550.0</v>
      </c>
      <c r="I244" s="2" t="s">
        <v>9</v>
      </c>
      <c r="J244" s="2">
        <f t="shared" si="3"/>
        <v>1</v>
      </c>
    </row>
    <row r="245" ht="15.75" customHeight="1">
      <c r="A245" s="1" t="s">
        <v>15</v>
      </c>
      <c r="B245" s="1">
        <f t="shared" si="1"/>
        <v>3</v>
      </c>
      <c r="C245" s="2" t="s">
        <v>12</v>
      </c>
      <c r="D245" s="2">
        <f t="shared" si="2"/>
        <v>2</v>
      </c>
      <c r="E245" s="2">
        <v>47.3</v>
      </c>
      <c r="F245" s="2">
        <v>15.3</v>
      </c>
      <c r="G245" s="2">
        <v>222.0</v>
      </c>
      <c r="H245" s="2">
        <v>5250.0</v>
      </c>
      <c r="I245" s="2" t="s">
        <v>9</v>
      </c>
      <c r="J245" s="2">
        <f t="shared" si="3"/>
        <v>1</v>
      </c>
    </row>
    <row r="246" ht="15.75" customHeight="1">
      <c r="A246" s="1" t="s">
        <v>15</v>
      </c>
      <c r="B246" s="1">
        <f t="shared" si="1"/>
        <v>3</v>
      </c>
      <c r="C246" s="2" t="s">
        <v>12</v>
      </c>
      <c r="D246" s="2">
        <f t="shared" si="2"/>
        <v>2</v>
      </c>
      <c r="E246" s="2">
        <v>42.8</v>
      </c>
      <c r="F246" s="2">
        <v>14.2</v>
      </c>
      <c r="G246" s="2">
        <v>209.0</v>
      </c>
      <c r="H246" s="2">
        <v>4700.0</v>
      </c>
      <c r="I246" s="2" t="s">
        <v>10</v>
      </c>
      <c r="J246" s="2">
        <f t="shared" si="3"/>
        <v>0</v>
      </c>
    </row>
    <row r="247" ht="15.75" customHeight="1">
      <c r="A247" s="1" t="s">
        <v>15</v>
      </c>
      <c r="B247" s="1">
        <f t="shared" si="1"/>
        <v>3</v>
      </c>
      <c r="C247" s="2" t="s">
        <v>12</v>
      </c>
      <c r="D247" s="2">
        <f t="shared" si="2"/>
        <v>2</v>
      </c>
      <c r="E247" s="2">
        <v>45.1</v>
      </c>
      <c r="F247" s="2">
        <v>14.5</v>
      </c>
      <c r="G247" s="2">
        <v>207.0</v>
      </c>
      <c r="H247" s="2">
        <v>5050.0</v>
      </c>
      <c r="I247" s="2" t="s">
        <v>10</v>
      </c>
      <c r="J247" s="2">
        <f t="shared" si="3"/>
        <v>0</v>
      </c>
    </row>
    <row r="248" ht="15.75" customHeight="1">
      <c r="A248" s="1" t="s">
        <v>15</v>
      </c>
      <c r="B248" s="1">
        <f t="shared" si="1"/>
        <v>3</v>
      </c>
      <c r="C248" s="2" t="s">
        <v>12</v>
      </c>
      <c r="D248" s="2">
        <f t="shared" si="2"/>
        <v>2</v>
      </c>
      <c r="E248" s="2">
        <v>59.6</v>
      </c>
      <c r="F248" s="2">
        <v>17.0</v>
      </c>
      <c r="G248" s="2">
        <v>230.0</v>
      </c>
      <c r="H248" s="2">
        <v>6050.0</v>
      </c>
      <c r="I248" s="2" t="s">
        <v>9</v>
      </c>
      <c r="J248" s="2">
        <f t="shared" si="3"/>
        <v>1</v>
      </c>
    </row>
    <row r="249" ht="15.75" customHeight="1">
      <c r="A249" s="1" t="s">
        <v>15</v>
      </c>
      <c r="B249" s="1">
        <f t="shared" si="1"/>
        <v>3</v>
      </c>
      <c r="C249" s="2" t="s">
        <v>12</v>
      </c>
      <c r="D249" s="2">
        <f t="shared" si="2"/>
        <v>2</v>
      </c>
      <c r="E249" s="2">
        <v>49.1</v>
      </c>
      <c r="F249" s="2">
        <v>14.8</v>
      </c>
      <c r="G249" s="2">
        <v>220.0</v>
      </c>
      <c r="H249" s="2">
        <v>5150.0</v>
      </c>
      <c r="I249" s="2" t="s">
        <v>10</v>
      </c>
      <c r="J249" s="2">
        <f t="shared" si="3"/>
        <v>0</v>
      </c>
    </row>
    <row r="250" ht="15.75" customHeight="1">
      <c r="A250" s="1" t="s">
        <v>15</v>
      </c>
      <c r="B250" s="1">
        <f t="shared" si="1"/>
        <v>3</v>
      </c>
      <c r="C250" s="2" t="s">
        <v>12</v>
      </c>
      <c r="D250" s="2">
        <f t="shared" si="2"/>
        <v>2</v>
      </c>
      <c r="E250" s="2">
        <v>48.4</v>
      </c>
      <c r="F250" s="2">
        <v>16.3</v>
      </c>
      <c r="G250" s="2">
        <v>220.0</v>
      </c>
      <c r="H250" s="2">
        <v>5400.0</v>
      </c>
      <c r="I250" s="2" t="s">
        <v>9</v>
      </c>
      <c r="J250" s="2">
        <f t="shared" si="3"/>
        <v>1</v>
      </c>
    </row>
    <row r="251" ht="15.75" customHeight="1">
      <c r="A251" s="1" t="s">
        <v>15</v>
      </c>
      <c r="B251" s="1">
        <f t="shared" si="1"/>
        <v>3</v>
      </c>
      <c r="C251" s="2" t="s">
        <v>12</v>
      </c>
      <c r="D251" s="2">
        <f t="shared" si="2"/>
        <v>2</v>
      </c>
      <c r="E251" s="2">
        <v>42.6</v>
      </c>
      <c r="F251" s="2">
        <v>13.7</v>
      </c>
      <c r="G251" s="2">
        <v>213.0</v>
      </c>
      <c r="H251" s="2">
        <v>4950.0</v>
      </c>
      <c r="I251" s="2" t="s">
        <v>10</v>
      </c>
      <c r="J251" s="2">
        <f t="shared" si="3"/>
        <v>0</v>
      </c>
    </row>
    <row r="252" ht="15.75" customHeight="1">
      <c r="A252" s="1" t="s">
        <v>15</v>
      </c>
      <c r="B252" s="1">
        <f t="shared" si="1"/>
        <v>3</v>
      </c>
      <c r="C252" s="2" t="s">
        <v>12</v>
      </c>
      <c r="D252" s="2">
        <f t="shared" si="2"/>
        <v>2</v>
      </c>
      <c r="E252" s="2">
        <v>44.4</v>
      </c>
      <c r="F252" s="2">
        <v>17.3</v>
      </c>
      <c r="G252" s="2">
        <v>219.0</v>
      </c>
      <c r="H252" s="2">
        <v>5250.0</v>
      </c>
      <c r="I252" s="2" t="s">
        <v>9</v>
      </c>
      <c r="J252" s="2">
        <f t="shared" si="3"/>
        <v>1</v>
      </c>
    </row>
    <row r="253" ht="15.75" customHeight="1">
      <c r="A253" s="1" t="s">
        <v>15</v>
      </c>
      <c r="B253" s="1">
        <f t="shared" si="1"/>
        <v>3</v>
      </c>
      <c r="C253" s="2" t="s">
        <v>12</v>
      </c>
      <c r="D253" s="2">
        <f t="shared" si="2"/>
        <v>2</v>
      </c>
      <c r="E253" s="2">
        <v>44.0</v>
      </c>
      <c r="F253" s="2">
        <v>13.6</v>
      </c>
      <c r="G253" s="2">
        <v>208.0</v>
      </c>
      <c r="H253" s="2">
        <v>4350.0</v>
      </c>
      <c r="I253" s="2" t="s">
        <v>10</v>
      </c>
      <c r="J253" s="2">
        <f t="shared" si="3"/>
        <v>0</v>
      </c>
    </row>
    <row r="254" ht="15.75" customHeight="1">
      <c r="A254" s="1" t="s">
        <v>15</v>
      </c>
      <c r="B254" s="1">
        <f t="shared" si="1"/>
        <v>3</v>
      </c>
      <c r="C254" s="2" t="s">
        <v>12</v>
      </c>
      <c r="D254" s="2">
        <f t="shared" si="2"/>
        <v>2</v>
      </c>
      <c r="E254" s="2">
        <v>48.7</v>
      </c>
      <c r="F254" s="2">
        <v>15.7</v>
      </c>
      <c r="G254" s="2">
        <v>208.0</v>
      </c>
      <c r="H254" s="2">
        <v>5350.0</v>
      </c>
      <c r="I254" s="2" t="s">
        <v>9</v>
      </c>
      <c r="J254" s="2">
        <f t="shared" si="3"/>
        <v>1</v>
      </c>
    </row>
    <row r="255" ht="15.75" customHeight="1">
      <c r="A255" s="1" t="s">
        <v>15</v>
      </c>
      <c r="B255" s="1">
        <f t="shared" si="1"/>
        <v>3</v>
      </c>
      <c r="C255" s="2" t="s">
        <v>12</v>
      </c>
      <c r="D255" s="2">
        <f t="shared" si="2"/>
        <v>2</v>
      </c>
      <c r="E255" s="2">
        <v>42.7</v>
      </c>
      <c r="F255" s="2">
        <v>13.7</v>
      </c>
      <c r="G255" s="2">
        <v>208.0</v>
      </c>
      <c r="H255" s="2">
        <v>3950.0</v>
      </c>
      <c r="I255" s="2" t="s">
        <v>10</v>
      </c>
      <c r="J255" s="2">
        <f t="shared" si="3"/>
        <v>0</v>
      </c>
    </row>
    <row r="256" ht="15.75" customHeight="1">
      <c r="A256" s="1" t="s">
        <v>15</v>
      </c>
      <c r="B256" s="1">
        <f t="shared" si="1"/>
        <v>3</v>
      </c>
      <c r="C256" s="2" t="s">
        <v>12</v>
      </c>
      <c r="D256" s="2">
        <f t="shared" si="2"/>
        <v>2</v>
      </c>
      <c r="E256" s="2">
        <v>49.6</v>
      </c>
      <c r="F256" s="2">
        <v>16.0</v>
      </c>
      <c r="G256" s="2">
        <v>225.0</v>
      </c>
      <c r="H256" s="2">
        <v>5700.0</v>
      </c>
      <c r="I256" s="2" t="s">
        <v>9</v>
      </c>
      <c r="J256" s="2">
        <f t="shared" si="3"/>
        <v>1</v>
      </c>
    </row>
    <row r="257" ht="15.75" customHeight="1">
      <c r="A257" s="1" t="s">
        <v>15</v>
      </c>
      <c r="B257" s="1">
        <f t="shared" si="1"/>
        <v>3</v>
      </c>
      <c r="C257" s="2" t="s">
        <v>12</v>
      </c>
      <c r="D257" s="2">
        <f t="shared" si="2"/>
        <v>2</v>
      </c>
      <c r="E257" s="2">
        <v>45.3</v>
      </c>
      <c r="F257" s="2">
        <v>13.7</v>
      </c>
      <c r="G257" s="2">
        <v>210.0</v>
      </c>
      <c r="H257" s="2">
        <v>4300.0</v>
      </c>
      <c r="I257" s="2" t="s">
        <v>10</v>
      </c>
      <c r="J257" s="2">
        <f t="shared" si="3"/>
        <v>0</v>
      </c>
    </row>
    <row r="258" ht="15.75" customHeight="1">
      <c r="A258" s="1" t="s">
        <v>15</v>
      </c>
      <c r="B258" s="1">
        <f t="shared" si="1"/>
        <v>3</v>
      </c>
      <c r="C258" s="2" t="s">
        <v>12</v>
      </c>
      <c r="D258" s="2">
        <f t="shared" si="2"/>
        <v>2</v>
      </c>
      <c r="E258" s="2">
        <v>49.6</v>
      </c>
      <c r="F258" s="2">
        <v>15.0</v>
      </c>
      <c r="G258" s="2">
        <v>216.0</v>
      </c>
      <c r="H258" s="2">
        <v>4750.0</v>
      </c>
      <c r="I258" s="2" t="s">
        <v>9</v>
      </c>
      <c r="J258" s="2">
        <f t="shared" si="3"/>
        <v>1</v>
      </c>
    </row>
    <row r="259" ht="15.75" customHeight="1">
      <c r="A259" s="1" t="s">
        <v>15</v>
      </c>
      <c r="B259" s="1">
        <f t="shared" si="1"/>
        <v>3</v>
      </c>
      <c r="C259" s="2" t="s">
        <v>12</v>
      </c>
      <c r="D259" s="2">
        <f t="shared" si="2"/>
        <v>2</v>
      </c>
      <c r="E259" s="2">
        <v>50.5</v>
      </c>
      <c r="F259" s="2">
        <v>15.9</v>
      </c>
      <c r="G259" s="2">
        <v>222.0</v>
      </c>
      <c r="H259" s="2">
        <v>5550.0</v>
      </c>
      <c r="I259" s="2" t="s">
        <v>9</v>
      </c>
      <c r="J259" s="2">
        <f t="shared" si="3"/>
        <v>1</v>
      </c>
    </row>
    <row r="260" ht="15.75" customHeight="1">
      <c r="A260" s="1" t="s">
        <v>15</v>
      </c>
      <c r="B260" s="1">
        <f t="shared" si="1"/>
        <v>3</v>
      </c>
      <c r="C260" s="2" t="s">
        <v>12</v>
      </c>
      <c r="D260" s="2">
        <f t="shared" si="2"/>
        <v>2</v>
      </c>
      <c r="E260" s="2">
        <v>43.6</v>
      </c>
      <c r="F260" s="2">
        <v>13.9</v>
      </c>
      <c r="G260" s="2">
        <v>217.0</v>
      </c>
      <c r="H260" s="2">
        <v>4900.0</v>
      </c>
      <c r="I260" s="2" t="s">
        <v>10</v>
      </c>
      <c r="J260" s="2">
        <f t="shared" si="3"/>
        <v>0</v>
      </c>
    </row>
    <row r="261" ht="15.75" customHeight="1">
      <c r="A261" s="1" t="s">
        <v>15</v>
      </c>
      <c r="B261" s="1">
        <f t="shared" si="1"/>
        <v>3</v>
      </c>
      <c r="C261" s="2" t="s">
        <v>12</v>
      </c>
      <c r="D261" s="2">
        <f t="shared" si="2"/>
        <v>2</v>
      </c>
      <c r="E261" s="2">
        <v>45.5</v>
      </c>
      <c r="F261" s="2">
        <v>13.9</v>
      </c>
      <c r="G261" s="2">
        <v>210.0</v>
      </c>
      <c r="H261" s="2">
        <v>4200.0</v>
      </c>
      <c r="I261" s="2" t="s">
        <v>10</v>
      </c>
      <c r="J261" s="2">
        <f t="shared" si="3"/>
        <v>0</v>
      </c>
    </row>
    <row r="262" ht="15.75" customHeight="1">
      <c r="A262" s="1" t="s">
        <v>15</v>
      </c>
      <c r="B262" s="1">
        <f t="shared" si="1"/>
        <v>3</v>
      </c>
      <c r="C262" s="2" t="s">
        <v>12</v>
      </c>
      <c r="D262" s="2">
        <f t="shared" si="2"/>
        <v>2</v>
      </c>
      <c r="E262" s="2">
        <v>50.5</v>
      </c>
      <c r="F262" s="2">
        <v>15.9</v>
      </c>
      <c r="G262" s="2">
        <v>225.0</v>
      </c>
      <c r="H262" s="2">
        <v>5400.0</v>
      </c>
      <c r="I262" s="2" t="s">
        <v>9</v>
      </c>
      <c r="J262" s="2">
        <f t="shared" si="3"/>
        <v>1</v>
      </c>
    </row>
    <row r="263" ht="15.75" customHeight="1">
      <c r="A263" s="1" t="s">
        <v>15</v>
      </c>
      <c r="B263" s="1">
        <f t="shared" si="1"/>
        <v>3</v>
      </c>
      <c r="C263" s="2" t="s">
        <v>12</v>
      </c>
      <c r="D263" s="2">
        <f t="shared" si="2"/>
        <v>2</v>
      </c>
      <c r="E263" s="2">
        <v>44.9</v>
      </c>
      <c r="F263" s="2">
        <v>13.3</v>
      </c>
      <c r="G263" s="2">
        <v>213.0</v>
      </c>
      <c r="H263" s="2">
        <v>5100.0</v>
      </c>
      <c r="I263" s="2" t="s">
        <v>10</v>
      </c>
      <c r="J263" s="2">
        <f t="shared" si="3"/>
        <v>0</v>
      </c>
    </row>
    <row r="264" ht="15.75" customHeight="1">
      <c r="A264" s="1" t="s">
        <v>15</v>
      </c>
      <c r="B264" s="1">
        <f t="shared" si="1"/>
        <v>3</v>
      </c>
      <c r="C264" s="2" t="s">
        <v>12</v>
      </c>
      <c r="D264" s="2">
        <f t="shared" si="2"/>
        <v>2</v>
      </c>
      <c r="E264" s="2">
        <v>45.2</v>
      </c>
      <c r="F264" s="2">
        <v>15.8</v>
      </c>
      <c r="G264" s="2">
        <v>215.0</v>
      </c>
      <c r="H264" s="2">
        <v>5300.0</v>
      </c>
      <c r="I264" s="2" t="s">
        <v>9</v>
      </c>
      <c r="J264" s="2">
        <f t="shared" si="3"/>
        <v>1</v>
      </c>
    </row>
    <row r="265" ht="15.75" customHeight="1">
      <c r="A265" s="1" t="s">
        <v>15</v>
      </c>
      <c r="B265" s="1">
        <f t="shared" si="1"/>
        <v>3</v>
      </c>
      <c r="C265" s="2" t="s">
        <v>12</v>
      </c>
      <c r="D265" s="2">
        <f t="shared" si="2"/>
        <v>2</v>
      </c>
      <c r="E265" s="2">
        <v>46.6</v>
      </c>
      <c r="F265" s="2">
        <v>14.2</v>
      </c>
      <c r="G265" s="2">
        <v>210.0</v>
      </c>
      <c r="H265" s="2">
        <v>4850.0</v>
      </c>
      <c r="I265" s="2" t="s">
        <v>10</v>
      </c>
      <c r="J265" s="2">
        <f t="shared" si="3"/>
        <v>0</v>
      </c>
    </row>
    <row r="266" ht="15.75" customHeight="1">
      <c r="A266" s="1" t="s">
        <v>15</v>
      </c>
      <c r="B266" s="1">
        <f t="shared" si="1"/>
        <v>3</v>
      </c>
      <c r="C266" s="2" t="s">
        <v>12</v>
      </c>
      <c r="D266" s="2">
        <f t="shared" si="2"/>
        <v>2</v>
      </c>
      <c r="E266" s="2">
        <v>48.5</v>
      </c>
      <c r="F266" s="2">
        <v>14.1</v>
      </c>
      <c r="G266" s="2">
        <v>220.0</v>
      </c>
      <c r="H266" s="2">
        <v>5300.0</v>
      </c>
      <c r="I266" s="2" t="s">
        <v>9</v>
      </c>
      <c r="J266" s="2">
        <f t="shared" si="3"/>
        <v>1</v>
      </c>
    </row>
    <row r="267" ht="15.75" customHeight="1">
      <c r="A267" s="1" t="s">
        <v>15</v>
      </c>
      <c r="B267" s="1">
        <f t="shared" si="1"/>
        <v>3</v>
      </c>
      <c r="C267" s="2" t="s">
        <v>12</v>
      </c>
      <c r="D267" s="2">
        <f t="shared" si="2"/>
        <v>2</v>
      </c>
      <c r="E267" s="2">
        <v>45.1</v>
      </c>
      <c r="F267" s="2">
        <v>14.4</v>
      </c>
      <c r="G267" s="2">
        <v>210.0</v>
      </c>
      <c r="H267" s="2">
        <v>4400.0</v>
      </c>
      <c r="I267" s="2" t="s">
        <v>10</v>
      </c>
      <c r="J267" s="2">
        <f t="shared" si="3"/>
        <v>0</v>
      </c>
    </row>
    <row r="268" ht="15.75" customHeight="1">
      <c r="A268" s="1" t="s">
        <v>15</v>
      </c>
      <c r="B268" s="1">
        <f t="shared" si="1"/>
        <v>3</v>
      </c>
      <c r="C268" s="2" t="s">
        <v>12</v>
      </c>
      <c r="D268" s="2">
        <f t="shared" si="2"/>
        <v>2</v>
      </c>
      <c r="E268" s="2">
        <v>50.1</v>
      </c>
      <c r="F268" s="2">
        <v>15.0</v>
      </c>
      <c r="G268" s="2">
        <v>225.0</v>
      </c>
      <c r="H268" s="2">
        <v>5000.0</v>
      </c>
      <c r="I268" s="2" t="s">
        <v>9</v>
      </c>
      <c r="J268" s="2">
        <f t="shared" si="3"/>
        <v>1</v>
      </c>
    </row>
    <row r="269" ht="15.75" customHeight="1">
      <c r="A269" s="1" t="s">
        <v>15</v>
      </c>
      <c r="B269" s="1">
        <f t="shared" si="1"/>
        <v>3</v>
      </c>
      <c r="C269" s="2" t="s">
        <v>12</v>
      </c>
      <c r="D269" s="2">
        <f t="shared" si="2"/>
        <v>2</v>
      </c>
      <c r="E269" s="2">
        <v>46.5</v>
      </c>
      <c r="F269" s="2">
        <v>14.4</v>
      </c>
      <c r="G269" s="2">
        <v>217.0</v>
      </c>
      <c r="H269" s="2">
        <v>4900.0</v>
      </c>
      <c r="I269" s="2" t="s">
        <v>10</v>
      </c>
      <c r="J269" s="2">
        <f t="shared" si="3"/>
        <v>0</v>
      </c>
    </row>
    <row r="270" ht="15.75" customHeight="1">
      <c r="A270" s="1" t="s">
        <v>15</v>
      </c>
      <c r="B270" s="1">
        <f t="shared" si="1"/>
        <v>3</v>
      </c>
      <c r="C270" s="2" t="s">
        <v>12</v>
      </c>
      <c r="D270" s="2">
        <f t="shared" si="2"/>
        <v>2</v>
      </c>
      <c r="E270" s="2">
        <v>45.0</v>
      </c>
      <c r="F270" s="2">
        <v>15.4</v>
      </c>
      <c r="G270" s="2">
        <v>220.0</v>
      </c>
      <c r="H270" s="2">
        <v>5050.0</v>
      </c>
      <c r="I270" s="2" t="s">
        <v>9</v>
      </c>
      <c r="J270" s="2">
        <f t="shared" si="3"/>
        <v>1</v>
      </c>
    </row>
    <row r="271" ht="15.75" customHeight="1">
      <c r="A271" s="1" t="s">
        <v>15</v>
      </c>
      <c r="B271" s="1">
        <f t="shared" si="1"/>
        <v>3</v>
      </c>
      <c r="C271" s="2" t="s">
        <v>12</v>
      </c>
      <c r="D271" s="2">
        <f t="shared" si="2"/>
        <v>2</v>
      </c>
      <c r="E271" s="2">
        <v>43.8</v>
      </c>
      <c r="F271" s="2">
        <v>13.9</v>
      </c>
      <c r="G271" s="2">
        <v>208.0</v>
      </c>
      <c r="H271" s="2">
        <v>4300.0</v>
      </c>
      <c r="I271" s="2" t="s">
        <v>10</v>
      </c>
      <c r="J271" s="2">
        <f t="shared" si="3"/>
        <v>0</v>
      </c>
    </row>
    <row r="272" ht="15.75" customHeight="1">
      <c r="A272" s="1" t="s">
        <v>15</v>
      </c>
      <c r="B272" s="1">
        <f t="shared" si="1"/>
        <v>3</v>
      </c>
      <c r="C272" s="2" t="s">
        <v>12</v>
      </c>
      <c r="D272" s="2">
        <f t="shared" si="2"/>
        <v>2</v>
      </c>
      <c r="E272" s="2">
        <v>45.5</v>
      </c>
      <c r="F272" s="2">
        <v>15.0</v>
      </c>
      <c r="G272" s="2">
        <v>220.0</v>
      </c>
      <c r="H272" s="2">
        <v>5000.0</v>
      </c>
      <c r="I272" s="2" t="s">
        <v>9</v>
      </c>
      <c r="J272" s="2">
        <f t="shared" si="3"/>
        <v>1</v>
      </c>
    </row>
    <row r="273" ht="15.75" customHeight="1">
      <c r="A273" s="1" t="s">
        <v>15</v>
      </c>
      <c r="B273" s="1">
        <f t="shared" si="1"/>
        <v>3</v>
      </c>
      <c r="C273" s="2" t="s">
        <v>12</v>
      </c>
      <c r="D273" s="2">
        <f t="shared" si="2"/>
        <v>2</v>
      </c>
      <c r="E273" s="2">
        <v>43.2</v>
      </c>
      <c r="F273" s="2">
        <v>14.5</v>
      </c>
      <c r="G273" s="2">
        <v>208.0</v>
      </c>
      <c r="H273" s="2">
        <v>4450.0</v>
      </c>
      <c r="I273" s="2" t="s">
        <v>10</v>
      </c>
      <c r="J273" s="2">
        <f t="shared" si="3"/>
        <v>0</v>
      </c>
    </row>
    <row r="274" ht="15.75" customHeight="1">
      <c r="A274" s="1" t="s">
        <v>15</v>
      </c>
      <c r="B274" s="1">
        <f t="shared" si="1"/>
        <v>3</v>
      </c>
      <c r="C274" s="2" t="s">
        <v>12</v>
      </c>
      <c r="D274" s="2">
        <f t="shared" si="2"/>
        <v>2</v>
      </c>
      <c r="E274" s="2">
        <v>50.4</v>
      </c>
      <c r="F274" s="2">
        <v>15.3</v>
      </c>
      <c r="G274" s="2">
        <v>224.0</v>
      </c>
      <c r="H274" s="2">
        <v>5550.0</v>
      </c>
      <c r="I274" s="2" t="s">
        <v>9</v>
      </c>
      <c r="J274" s="2">
        <f t="shared" si="3"/>
        <v>1</v>
      </c>
    </row>
    <row r="275" ht="15.75" customHeight="1">
      <c r="A275" s="1" t="s">
        <v>15</v>
      </c>
      <c r="B275" s="1">
        <f t="shared" si="1"/>
        <v>3</v>
      </c>
      <c r="C275" s="2" t="s">
        <v>12</v>
      </c>
      <c r="D275" s="2">
        <f t="shared" si="2"/>
        <v>2</v>
      </c>
      <c r="E275" s="2">
        <v>45.3</v>
      </c>
      <c r="F275" s="2">
        <v>13.8</v>
      </c>
      <c r="G275" s="2">
        <v>208.0</v>
      </c>
      <c r="H275" s="2">
        <v>4200.0</v>
      </c>
      <c r="I275" s="2" t="s">
        <v>10</v>
      </c>
      <c r="J275" s="2">
        <f t="shared" si="3"/>
        <v>0</v>
      </c>
    </row>
    <row r="276" ht="15.75" customHeight="1">
      <c r="A276" s="1" t="s">
        <v>15</v>
      </c>
      <c r="B276" s="1">
        <f t="shared" si="1"/>
        <v>3</v>
      </c>
      <c r="C276" s="2" t="s">
        <v>12</v>
      </c>
      <c r="D276" s="2">
        <f t="shared" si="2"/>
        <v>2</v>
      </c>
      <c r="E276" s="2">
        <v>46.2</v>
      </c>
      <c r="F276" s="2">
        <v>14.9</v>
      </c>
      <c r="G276" s="2">
        <v>221.0</v>
      </c>
      <c r="H276" s="2">
        <v>5300.0</v>
      </c>
      <c r="I276" s="2" t="s">
        <v>9</v>
      </c>
      <c r="J276" s="2">
        <f t="shared" si="3"/>
        <v>1</v>
      </c>
    </row>
    <row r="277" ht="15.75" customHeight="1">
      <c r="A277" s="1" t="s">
        <v>15</v>
      </c>
      <c r="B277" s="1">
        <f t="shared" si="1"/>
        <v>3</v>
      </c>
      <c r="C277" s="2" t="s">
        <v>12</v>
      </c>
      <c r="D277" s="2">
        <f t="shared" si="2"/>
        <v>2</v>
      </c>
      <c r="E277" s="2">
        <v>45.7</v>
      </c>
      <c r="F277" s="2">
        <v>13.9</v>
      </c>
      <c r="G277" s="2">
        <v>214.0</v>
      </c>
      <c r="H277" s="2">
        <v>4400.0</v>
      </c>
      <c r="I277" s="2" t="s">
        <v>10</v>
      </c>
      <c r="J277" s="2">
        <f t="shared" si="3"/>
        <v>0</v>
      </c>
    </row>
    <row r="278" ht="15.75" customHeight="1">
      <c r="A278" s="1" t="s">
        <v>15</v>
      </c>
      <c r="B278" s="1">
        <f t="shared" si="1"/>
        <v>3</v>
      </c>
      <c r="C278" s="2" t="s">
        <v>12</v>
      </c>
      <c r="D278" s="2">
        <f t="shared" si="2"/>
        <v>2</v>
      </c>
      <c r="E278" s="2">
        <v>54.3</v>
      </c>
      <c r="F278" s="2">
        <v>15.7</v>
      </c>
      <c r="G278" s="2">
        <v>231.0</v>
      </c>
      <c r="H278" s="2">
        <v>5650.0</v>
      </c>
      <c r="I278" s="2" t="s">
        <v>9</v>
      </c>
      <c r="J278" s="2">
        <f t="shared" si="3"/>
        <v>1</v>
      </c>
    </row>
    <row r="279" ht="15.75" customHeight="1">
      <c r="A279" s="1" t="s">
        <v>15</v>
      </c>
      <c r="B279" s="1">
        <f t="shared" si="1"/>
        <v>3</v>
      </c>
      <c r="C279" s="2" t="s">
        <v>12</v>
      </c>
      <c r="D279" s="2">
        <f t="shared" si="2"/>
        <v>2</v>
      </c>
      <c r="E279" s="2">
        <v>45.8</v>
      </c>
      <c r="F279" s="2">
        <v>14.2</v>
      </c>
      <c r="G279" s="2">
        <v>219.0</v>
      </c>
      <c r="H279" s="2">
        <v>4700.0</v>
      </c>
      <c r="I279" s="2" t="s">
        <v>10</v>
      </c>
      <c r="J279" s="2">
        <f t="shared" si="3"/>
        <v>0</v>
      </c>
    </row>
    <row r="280" ht="15.75" customHeight="1">
      <c r="A280" s="1" t="s">
        <v>15</v>
      </c>
      <c r="B280" s="1">
        <f t="shared" si="1"/>
        <v>3</v>
      </c>
      <c r="C280" s="2" t="s">
        <v>12</v>
      </c>
      <c r="D280" s="2">
        <f t="shared" si="2"/>
        <v>2</v>
      </c>
      <c r="E280" s="2">
        <v>49.8</v>
      </c>
      <c r="F280" s="2">
        <v>16.8</v>
      </c>
      <c r="G280" s="2">
        <v>230.0</v>
      </c>
      <c r="H280" s="2">
        <v>5700.0</v>
      </c>
      <c r="I280" s="2" t="s">
        <v>9</v>
      </c>
      <c r="J280" s="2">
        <f t="shared" si="3"/>
        <v>1</v>
      </c>
    </row>
    <row r="281" ht="15.75" customHeight="1">
      <c r="A281" s="1" t="s">
        <v>15</v>
      </c>
      <c r="B281" s="1">
        <f t="shared" si="1"/>
        <v>3</v>
      </c>
      <c r="C281" s="2" t="s">
        <v>12</v>
      </c>
      <c r="D281" s="2">
        <f t="shared" si="2"/>
        <v>2</v>
      </c>
      <c r="E281" s="2">
        <v>49.5</v>
      </c>
      <c r="F281" s="2">
        <v>16.2</v>
      </c>
      <c r="G281" s="2">
        <v>229.0</v>
      </c>
      <c r="H281" s="2">
        <v>5800.0</v>
      </c>
      <c r="I281" s="2" t="s">
        <v>9</v>
      </c>
      <c r="J281" s="2">
        <f t="shared" si="3"/>
        <v>1</v>
      </c>
    </row>
    <row r="282" ht="15.75" customHeight="1">
      <c r="A282" s="1" t="s">
        <v>15</v>
      </c>
      <c r="B282" s="1">
        <f t="shared" si="1"/>
        <v>3</v>
      </c>
      <c r="C282" s="2" t="s">
        <v>12</v>
      </c>
      <c r="D282" s="2">
        <f t="shared" si="2"/>
        <v>2</v>
      </c>
      <c r="E282" s="2">
        <v>43.5</v>
      </c>
      <c r="F282" s="2">
        <v>14.2</v>
      </c>
      <c r="G282" s="2">
        <v>220.0</v>
      </c>
      <c r="H282" s="2">
        <v>4700.0</v>
      </c>
      <c r="I282" s="2" t="s">
        <v>10</v>
      </c>
      <c r="J282" s="2">
        <f t="shared" si="3"/>
        <v>0</v>
      </c>
    </row>
    <row r="283" ht="15.75" customHeight="1">
      <c r="A283" s="1" t="s">
        <v>15</v>
      </c>
      <c r="B283" s="1">
        <f t="shared" si="1"/>
        <v>3</v>
      </c>
      <c r="C283" s="2" t="s">
        <v>12</v>
      </c>
      <c r="D283" s="2">
        <f t="shared" si="2"/>
        <v>2</v>
      </c>
      <c r="E283" s="2">
        <v>50.7</v>
      </c>
      <c r="F283" s="2">
        <v>15.0</v>
      </c>
      <c r="G283" s="2">
        <v>223.0</v>
      </c>
      <c r="H283" s="2">
        <v>5550.0</v>
      </c>
      <c r="I283" s="2" t="s">
        <v>9</v>
      </c>
      <c r="J283" s="2">
        <f t="shared" si="3"/>
        <v>1</v>
      </c>
    </row>
    <row r="284" ht="15.75" customHeight="1">
      <c r="A284" s="1" t="s">
        <v>15</v>
      </c>
      <c r="B284" s="1">
        <f t="shared" si="1"/>
        <v>3</v>
      </c>
      <c r="C284" s="2" t="s">
        <v>12</v>
      </c>
      <c r="D284" s="2">
        <f t="shared" si="2"/>
        <v>2</v>
      </c>
      <c r="E284" s="2">
        <v>47.7</v>
      </c>
      <c r="F284" s="2">
        <v>15.0</v>
      </c>
      <c r="G284" s="2">
        <v>216.0</v>
      </c>
      <c r="H284" s="2">
        <v>4750.0</v>
      </c>
      <c r="I284" s="2" t="s">
        <v>10</v>
      </c>
      <c r="J284" s="2">
        <f t="shared" si="3"/>
        <v>0</v>
      </c>
    </row>
    <row r="285" ht="15.75" customHeight="1">
      <c r="A285" s="1" t="s">
        <v>15</v>
      </c>
      <c r="B285" s="1">
        <f t="shared" si="1"/>
        <v>3</v>
      </c>
      <c r="C285" s="2" t="s">
        <v>12</v>
      </c>
      <c r="D285" s="2">
        <f t="shared" si="2"/>
        <v>2</v>
      </c>
      <c r="E285" s="2">
        <v>46.4</v>
      </c>
      <c r="F285" s="2">
        <v>15.6</v>
      </c>
      <c r="G285" s="2">
        <v>221.0</v>
      </c>
      <c r="H285" s="2">
        <v>5000.0</v>
      </c>
      <c r="I285" s="2" t="s">
        <v>9</v>
      </c>
      <c r="J285" s="2">
        <f t="shared" si="3"/>
        <v>1</v>
      </c>
    </row>
    <row r="286" ht="15.75" customHeight="1">
      <c r="A286" s="1" t="s">
        <v>15</v>
      </c>
      <c r="B286" s="1">
        <f t="shared" si="1"/>
        <v>3</v>
      </c>
      <c r="C286" s="2" t="s">
        <v>12</v>
      </c>
      <c r="D286" s="2">
        <f t="shared" si="2"/>
        <v>2</v>
      </c>
      <c r="E286" s="2">
        <v>48.2</v>
      </c>
      <c r="F286" s="2">
        <v>15.6</v>
      </c>
      <c r="G286" s="2">
        <v>221.0</v>
      </c>
      <c r="H286" s="2">
        <v>5100.0</v>
      </c>
      <c r="I286" s="2" t="s">
        <v>9</v>
      </c>
      <c r="J286" s="2">
        <f t="shared" si="3"/>
        <v>1</v>
      </c>
    </row>
    <row r="287" ht="15.75" customHeight="1">
      <c r="A287" s="1" t="s">
        <v>15</v>
      </c>
      <c r="B287" s="1">
        <f t="shared" si="1"/>
        <v>3</v>
      </c>
      <c r="C287" s="2" t="s">
        <v>12</v>
      </c>
      <c r="D287" s="2">
        <f t="shared" si="2"/>
        <v>2</v>
      </c>
      <c r="E287" s="2">
        <v>46.5</v>
      </c>
      <c r="F287" s="2">
        <v>14.8</v>
      </c>
      <c r="G287" s="2">
        <v>217.0</v>
      </c>
      <c r="H287" s="2">
        <v>5200.0</v>
      </c>
      <c r="I287" s="2" t="s">
        <v>10</v>
      </c>
      <c r="J287" s="2">
        <f t="shared" si="3"/>
        <v>0</v>
      </c>
    </row>
    <row r="288" ht="15.75" customHeight="1">
      <c r="A288" s="1" t="s">
        <v>15</v>
      </c>
      <c r="B288" s="1">
        <f t="shared" si="1"/>
        <v>3</v>
      </c>
      <c r="C288" s="2" t="s">
        <v>12</v>
      </c>
      <c r="D288" s="2">
        <f t="shared" si="2"/>
        <v>2</v>
      </c>
      <c r="E288" s="2">
        <v>46.4</v>
      </c>
      <c r="F288" s="2">
        <v>15.0</v>
      </c>
      <c r="G288" s="2">
        <v>216.0</v>
      </c>
      <c r="H288" s="2">
        <v>4700.0</v>
      </c>
      <c r="I288" s="2" t="s">
        <v>10</v>
      </c>
      <c r="J288" s="2">
        <f t="shared" si="3"/>
        <v>0</v>
      </c>
    </row>
    <row r="289" ht="15.75" customHeight="1">
      <c r="A289" s="1" t="s">
        <v>15</v>
      </c>
      <c r="B289" s="1">
        <f t="shared" si="1"/>
        <v>3</v>
      </c>
      <c r="C289" s="2" t="s">
        <v>12</v>
      </c>
      <c r="D289" s="2">
        <f t="shared" si="2"/>
        <v>2</v>
      </c>
      <c r="E289" s="2">
        <v>48.6</v>
      </c>
      <c r="F289" s="2">
        <v>16.0</v>
      </c>
      <c r="G289" s="2">
        <v>230.0</v>
      </c>
      <c r="H289" s="2">
        <v>5800.0</v>
      </c>
      <c r="I289" s="2" t="s">
        <v>9</v>
      </c>
      <c r="J289" s="2">
        <f t="shared" si="3"/>
        <v>1</v>
      </c>
    </row>
    <row r="290" ht="15.75" customHeight="1">
      <c r="A290" s="1" t="s">
        <v>15</v>
      </c>
      <c r="B290" s="1">
        <f t="shared" si="1"/>
        <v>3</v>
      </c>
      <c r="C290" s="2" t="s">
        <v>12</v>
      </c>
      <c r="D290" s="2">
        <f t="shared" si="2"/>
        <v>2</v>
      </c>
      <c r="E290" s="2">
        <v>47.5</v>
      </c>
      <c r="F290" s="2">
        <v>14.2</v>
      </c>
      <c r="G290" s="2">
        <v>209.0</v>
      </c>
      <c r="H290" s="2">
        <v>4600.0</v>
      </c>
      <c r="I290" s="2" t="s">
        <v>10</v>
      </c>
      <c r="J290" s="2">
        <f t="shared" si="3"/>
        <v>0</v>
      </c>
    </row>
    <row r="291" ht="15.75" customHeight="1">
      <c r="A291" s="1" t="s">
        <v>15</v>
      </c>
      <c r="B291" s="1">
        <f t="shared" si="1"/>
        <v>3</v>
      </c>
      <c r="C291" s="2" t="s">
        <v>12</v>
      </c>
      <c r="D291" s="2">
        <f t="shared" si="2"/>
        <v>2</v>
      </c>
      <c r="E291" s="2">
        <v>51.1</v>
      </c>
      <c r="F291" s="2">
        <v>16.3</v>
      </c>
      <c r="G291" s="2">
        <v>220.0</v>
      </c>
      <c r="H291" s="2">
        <v>6000.0</v>
      </c>
      <c r="I291" s="2" t="s">
        <v>9</v>
      </c>
      <c r="J291" s="2">
        <f t="shared" si="3"/>
        <v>1</v>
      </c>
    </row>
    <row r="292" ht="15.75" customHeight="1">
      <c r="A292" s="1" t="s">
        <v>15</v>
      </c>
      <c r="B292" s="1">
        <f t="shared" si="1"/>
        <v>3</v>
      </c>
      <c r="C292" s="2" t="s">
        <v>12</v>
      </c>
      <c r="D292" s="2">
        <f t="shared" si="2"/>
        <v>2</v>
      </c>
      <c r="E292" s="2">
        <v>45.2</v>
      </c>
      <c r="F292" s="2">
        <v>13.8</v>
      </c>
      <c r="G292" s="2">
        <v>215.0</v>
      </c>
      <c r="H292" s="2">
        <v>4750.0</v>
      </c>
      <c r="I292" s="2" t="s">
        <v>10</v>
      </c>
      <c r="J292" s="2">
        <f t="shared" si="3"/>
        <v>0</v>
      </c>
    </row>
    <row r="293" ht="15.75" customHeight="1">
      <c r="A293" s="1" t="s">
        <v>15</v>
      </c>
      <c r="B293" s="1">
        <f t="shared" si="1"/>
        <v>3</v>
      </c>
      <c r="C293" s="2" t="s">
        <v>12</v>
      </c>
      <c r="D293" s="2">
        <f t="shared" si="2"/>
        <v>2</v>
      </c>
      <c r="E293" s="2">
        <v>45.2</v>
      </c>
      <c r="F293" s="2">
        <v>16.4</v>
      </c>
      <c r="G293" s="2">
        <v>223.0</v>
      </c>
      <c r="H293" s="2">
        <v>5950.0</v>
      </c>
      <c r="I293" s="2" t="s">
        <v>9</v>
      </c>
      <c r="J293" s="2">
        <f t="shared" si="3"/>
        <v>1</v>
      </c>
    </row>
    <row r="294" ht="15.75" customHeight="1">
      <c r="A294" s="1" t="s">
        <v>15</v>
      </c>
      <c r="B294" s="1">
        <f t="shared" si="1"/>
        <v>3</v>
      </c>
      <c r="C294" s="2" t="s">
        <v>12</v>
      </c>
      <c r="D294" s="2">
        <f t="shared" si="2"/>
        <v>2</v>
      </c>
      <c r="E294" s="2">
        <v>49.1</v>
      </c>
      <c r="F294" s="2">
        <v>14.5</v>
      </c>
      <c r="G294" s="2">
        <v>212.0</v>
      </c>
      <c r="H294" s="2">
        <v>4625.0</v>
      </c>
      <c r="I294" s="2" t="s">
        <v>10</v>
      </c>
      <c r="J294" s="2">
        <f t="shared" si="3"/>
        <v>0</v>
      </c>
    </row>
    <row r="295" ht="15.75" customHeight="1">
      <c r="A295" s="1" t="s">
        <v>15</v>
      </c>
      <c r="B295" s="1">
        <f t="shared" si="1"/>
        <v>3</v>
      </c>
      <c r="C295" s="2" t="s">
        <v>12</v>
      </c>
      <c r="D295" s="2">
        <f t="shared" si="2"/>
        <v>2</v>
      </c>
      <c r="E295" s="2">
        <v>52.5</v>
      </c>
      <c r="F295" s="2">
        <v>15.6</v>
      </c>
      <c r="G295" s="2">
        <v>221.0</v>
      </c>
      <c r="H295" s="2">
        <v>5450.0</v>
      </c>
      <c r="I295" s="2" t="s">
        <v>9</v>
      </c>
      <c r="J295" s="2">
        <f t="shared" si="3"/>
        <v>1</v>
      </c>
    </row>
    <row r="296" ht="15.75" customHeight="1">
      <c r="A296" s="1" t="s">
        <v>15</v>
      </c>
      <c r="B296" s="1">
        <f t="shared" si="1"/>
        <v>3</v>
      </c>
      <c r="C296" s="2" t="s">
        <v>12</v>
      </c>
      <c r="D296" s="2">
        <f t="shared" si="2"/>
        <v>2</v>
      </c>
      <c r="E296" s="2">
        <v>47.4</v>
      </c>
      <c r="F296" s="2">
        <v>14.6</v>
      </c>
      <c r="G296" s="2">
        <v>212.0</v>
      </c>
      <c r="H296" s="2">
        <v>4725.0</v>
      </c>
      <c r="I296" s="2" t="s">
        <v>10</v>
      </c>
      <c r="J296" s="2">
        <f t="shared" si="3"/>
        <v>0</v>
      </c>
    </row>
    <row r="297" ht="15.75" customHeight="1">
      <c r="A297" s="1" t="s">
        <v>15</v>
      </c>
      <c r="B297" s="1">
        <f t="shared" si="1"/>
        <v>3</v>
      </c>
      <c r="C297" s="2" t="s">
        <v>12</v>
      </c>
      <c r="D297" s="2">
        <f t="shared" si="2"/>
        <v>2</v>
      </c>
      <c r="E297" s="2">
        <v>50.0</v>
      </c>
      <c r="F297" s="2">
        <v>15.9</v>
      </c>
      <c r="G297" s="2">
        <v>224.0</v>
      </c>
      <c r="H297" s="2">
        <v>5350.0</v>
      </c>
      <c r="I297" s="2" t="s">
        <v>9</v>
      </c>
      <c r="J297" s="2">
        <f t="shared" si="3"/>
        <v>1</v>
      </c>
    </row>
    <row r="298" ht="15.75" customHeight="1">
      <c r="A298" s="1" t="s">
        <v>15</v>
      </c>
      <c r="B298" s="1">
        <f t="shared" si="1"/>
        <v>3</v>
      </c>
      <c r="C298" s="2" t="s">
        <v>12</v>
      </c>
      <c r="D298" s="2">
        <f t="shared" si="2"/>
        <v>2</v>
      </c>
      <c r="E298" s="2">
        <v>44.9</v>
      </c>
      <c r="F298" s="2">
        <v>13.8</v>
      </c>
      <c r="G298" s="2">
        <v>212.0</v>
      </c>
      <c r="H298" s="2">
        <v>4750.0</v>
      </c>
      <c r="I298" s="2" t="s">
        <v>10</v>
      </c>
      <c r="J298" s="2">
        <f t="shared" si="3"/>
        <v>0</v>
      </c>
    </row>
    <row r="299" ht="15.75" customHeight="1">
      <c r="A299" s="1" t="s">
        <v>15</v>
      </c>
      <c r="B299" s="1">
        <f t="shared" si="1"/>
        <v>3</v>
      </c>
      <c r="C299" s="2" t="s">
        <v>12</v>
      </c>
      <c r="D299" s="2">
        <f t="shared" si="2"/>
        <v>2</v>
      </c>
      <c r="E299" s="2">
        <v>50.8</v>
      </c>
      <c r="F299" s="2">
        <v>17.3</v>
      </c>
      <c r="G299" s="2">
        <v>228.0</v>
      </c>
      <c r="H299" s="2">
        <v>5600.0</v>
      </c>
      <c r="I299" s="2" t="s">
        <v>9</v>
      </c>
      <c r="J299" s="2">
        <f t="shared" si="3"/>
        <v>1</v>
      </c>
    </row>
    <row r="300" ht="15.75" customHeight="1">
      <c r="A300" s="1" t="s">
        <v>15</v>
      </c>
      <c r="B300" s="1">
        <f t="shared" si="1"/>
        <v>3</v>
      </c>
      <c r="C300" s="2" t="s">
        <v>12</v>
      </c>
      <c r="D300" s="2">
        <f t="shared" si="2"/>
        <v>2</v>
      </c>
      <c r="E300" s="2">
        <v>43.4</v>
      </c>
      <c r="F300" s="2">
        <v>14.4</v>
      </c>
      <c r="G300" s="2">
        <v>218.0</v>
      </c>
      <c r="H300" s="2">
        <v>4600.0</v>
      </c>
      <c r="I300" s="2" t="s">
        <v>10</v>
      </c>
      <c r="J300" s="2">
        <f t="shared" si="3"/>
        <v>0</v>
      </c>
    </row>
    <row r="301" ht="15.75" customHeight="1">
      <c r="A301" s="1" t="s">
        <v>15</v>
      </c>
      <c r="B301" s="1">
        <f t="shared" si="1"/>
        <v>3</v>
      </c>
      <c r="C301" s="2" t="s">
        <v>12</v>
      </c>
      <c r="D301" s="2">
        <f t="shared" si="2"/>
        <v>2</v>
      </c>
      <c r="E301" s="2">
        <v>51.3</v>
      </c>
      <c r="F301" s="2">
        <v>14.2</v>
      </c>
      <c r="G301" s="2">
        <v>218.0</v>
      </c>
      <c r="H301" s="2">
        <v>5300.0</v>
      </c>
      <c r="I301" s="2" t="s">
        <v>9</v>
      </c>
      <c r="J301" s="2">
        <f t="shared" si="3"/>
        <v>1</v>
      </c>
    </row>
    <row r="302" ht="15.75" customHeight="1">
      <c r="A302" s="1" t="s">
        <v>15</v>
      </c>
      <c r="B302" s="1">
        <f t="shared" si="1"/>
        <v>3</v>
      </c>
      <c r="C302" s="2" t="s">
        <v>12</v>
      </c>
      <c r="D302" s="2">
        <f t="shared" si="2"/>
        <v>2</v>
      </c>
      <c r="E302" s="2">
        <v>47.5</v>
      </c>
      <c r="F302" s="2">
        <v>14.0</v>
      </c>
      <c r="G302" s="2">
        <v>212.0</v>
      </c>
      <c r="H302" s="2">
        <v>4875.0</v>
      </c>
      <c r="I302" s="2" t="s">
        <v>10</v>
      </c>
      <c r="J302" s="2">
        <f t="shared" si="3"/>
        <v>0</v>
      </c>
    </row>
    <row r="303" ht="15.75" customHeight="1">
      <c r="A303" s="1" t="s">
        <v>15</v>
      </c>
      <c r="B303" s="1">
        <f t="shared" si="1"/>
        <v>3</v>
      </c>
      <c r="C303" s="2" t="s">
        <v>12</v>
      </c>
      <c r="D303" s="2">
        <f t="shared" si="2"/>
        <v>2</v>
      </c>
      <c r="E303" s="2">
        <v>52.1</v>
      </c>
      <c r="F303" s="2">
        <v>17.0</v>
      </c>
      <c r="G303" s="2">
        <v>230.0</v>
      </c>
      <c r="H303" s="2">
        <v>5550.0</v>
      </c>
      <c r="I303" s="2" t="s">
        <v>9</v>
      </c>
      <c r="J303" s="2">
        <f t="shared" si="3"/>
        <v>1</v>
      </c>
    </row>
    <row r="304" ht="15.75" customHeight="1">
      <c r="A304" s="1" t="s">
        <v>15</v>
      </c>
      <c r="B304" s="1">
        <f t="shared" si="1"/>
        <v>3</v>
      </c>
      <c r="C304" s="2" t="s">
        <v>12</v>
      </c>
      <c r="D304" s="2">
        <f t="shared" si="2"/>
        <v>2</v>
      </c>
      <c r="E304" s="2">
        <v>47.5</v>
      </c>
      <c r="F304" s="2">
        <v>15.0</v>
      </c>
      <c r="G304" s="2">
        <v>218.0</v>
      </c>
      <c r="H304" s="2">
        <v>4950.0</v>
      </c>
      <c r="I304" s="2" t="s">
        <v>10</v>
      </c>
      <c r="J304" s="2">
        <f t="shared" si="3"/>
        <v>0</v>
      </c>
    </row>
    <row r="305" ht="15.75" customHeight="1">
      <c r="A305" s="1" t="s">
        <v>15</v>
      </c>
      <c r="B305" s="1">
        <f t="shared" si="1"/>
        <v>3</v>
      </c>
      <c r="C305" s="2" t="s">
        <v>12</v>
      </c>
      <c r="D305" s="2">
        <f t="shared" si="2"/>
        <v>2</v>
      </c>
      <c r="E305" s="2">
        <v>52.2</v>
      </c>
      <c r="F305" s="2">
        <v>17.1</v>
      </c>
      <c r="G305" s="2">
        <v>228.0</v>
      </c>
      <c r="H305" s="2">
        <v>5400.0</v>
      </c>
      <c r="I305" s="2" t="s">
        <v>9</v>
      </c>
      <c r="J305" s="2">
        <f t="shared" si="3"/>
        <v>1</v>
      </c>
    </row>
    <row r="306" ht="15.75" customHeight="1">
      <c r="A306" s="1" t="s">
        <v>15</v>
      </c>
      <c r="B306" s="1">
        <f t="shared" si="1"/>
        <v>3</v>
      </c>
      <c r="C306" s="2" t="s">
        <v>12</v>
      </c>
      <c r="D306" s="2">
        <f t="shared" si="2"/>
        <v>2</v>
      </c>
      <c r="E306" s="2">
        <v>45.5</v>
      </c>
      <c r="F306" s="2">
        <v>14.5</v>
      </c>
      <c r="G306" s="2">
        <v>212.0</v>
      </c>
      <c r="H306" s="2">
        <v>4750.0</v>
      </c>
      <c r="I306" s="2" t="s">
        <v>10</v>
      </c>
      <c r="J306" s="2">
        <f t="shared" si="3"/>
        <v>0</v>
      </c>
    </row>
    <row r="307" ht="15.75" customHeight="1">
      <c r="A307" s="1" t="s">
        <v>15</v>
      </c>
      <c r="B307" s="1">
        <f t="shared" si="1"/>
        <v>3</v>
      </c>
      <c r="C307" s="2" t="s">
        <v>12</v>
      </c>
      <c r="D307" s="2">
        <f t="shared" si="2"/>
        <v>2</v>
      </c>
      <c r="E307" s="2">
        <v>49.5</v>
      </c>
      <c r="F307" s="2">
        <v>16.1</v>
      </c>
      <c r="G307" s="2">
        <v>224.0</v>
      </c>
      <c r="H307" s="2">
        <v>5650.0</v>
      </c>
      <c r="I307" s="2" t="s">
        <v>9</v>
      </c>
      <c r="J307" s="2">
        <f t="shared" si="3"/>
        <v>1</v>
      </c>
    </row>
    <row r="308" ht="15.75" customHeight="1">
      <c r="A308" s="1" t="s">
        <v>15</v>
      </c>
      <c r="B308" s="1">
        <f t="shared" si="1"/>
        <v>3</v>
      </c>
      <c r="C308" s="2" t="s">
        <v>12</v>
      </c>
      <c r="D308" s="2">
        <f t="shared" si="2"/>
        <v>2</v>
      </c>
      <c r="E308" s="2">
        <v>44.5</v>
      </c>
      <c r="F308" s="2">
        <v>14.7</v>
      </c>
      <c r="G308" s="2">
        <v>214.0</v>
      </c>
      <c r="H308" s="2">
        <v>4850.0</v>
      </c>
      <c r="I308" s="2" t="s">
        <v>10</v>
      </c>
      <c r="J308" s="2">
        <f t="shared" si="3"/>
        <v>0</v>
      </c>
    </row>
    <row r="309" ht="15.75" customHeight="1">
      <c r="A309" s="1" t="s">
        <v>15</v>
      </c>
      <c r="B309" s="1">
        <f t="shared" si="1"/>
        <v>3</v>
      </c>
      <c r="C309" s="2" t="s">
        <v>12</v>
      </c>
      <c r="D309" s="2">
        <f t="shared" si="2"/>
        <v>2</v>
      </c>
      <c r="E309" s="2">
        <v>50.8</v>
      </c>
      <c r="F309" s="2">
        <v>15.7</v>
      </c>
      <c r="G309" s="2">
        <v>226.0</v>
      </c>
      <c r="H309" s="2">
        <v>5200.0</v>
      </c>
      <c r="I309" s="2" t="s">
        <v>9</v>
      </c>
      <c r="J309" s="2">
        <f t="shared" si="3"/>
        <v>1</v>
      </c>
    </row>
    <row r="310" ht="15.75" customHeight="1">
      <c r="A310" s="1" t="s">
        <v>15</v>
      </c>
      <c r="B310" s="1">
        <f t="shared" si="1"/>
        <v>3</v>
      </c>
      <c r="C310" s="2" t="s">
        <v>12</v>
      </c>
      <c r="D310" s="2">
        <f t="shared" si="2"/>
        <v>2</v>
      </c>
      <c r="E310" s="2">
        <v>49.4</v>
      </c>
      <c r="F310" s="2">
        <v>15.8</v>
      </c>
      <c r="G310" s="2">
        <v>216.0</v>
      </c>
      <c r="H310" s="2">
        <v>4925.0</v>
      </c>
      <c r="I310" s="2" t="s">
        <v>9</v>
      </c>
      <c r="J310" s="2">
        <f t="shared" si="3"/>
        <v>1</v>
      </c>
    </row>
    <row r="311" ht="15.75" customHeight="1">
      <c r="A311" s="1" t="s">
        <v>15</v>
      </c>
      <c r="B311" s="1">
        <f t="shared" si="1"/>
        <v>3</v>
      </c>
      <c r="C311" s="2" t="s">
        <v>12</v>
      </c>
      <c r="D311" s="2">
        <f t="shared" si="2"/>
        <v>2</v>
      </c>
      <c r="E311" s="2">
        <v>46.9</v>
      </c>
      <c r="F311" s="2">
        <v>14.6</v>
      </c>
      <c r="G311" s="2">
        <v>222.0</v>
      </c>
      <c r="H311" s="2">
        <v>4875.0</v>
      </c>
      <c r="I311" s="2" t="s">
        <v>10</v>
      </c>
      <c r="J311" s="2">
        <f t="shared" si="3"/>
        <v>0</v>
      </c>
    </row>
    <row r="312" ht="15.75" customHeight="1">
      <c r="A312" s="1" t="s">
        <v>15</v>
      </c>
      <c r="B312" s="1">
        <f t="shared" si="1"/>
        <v>3</v>
      </c>
      <c r="C312" s="2" t="s">
        <v>12</v>
      </c>
      <c r="D312" s="2">
        <f t="shared" si="2"/>
        <v>2</v>
      </c>
      <c r="E312" s="2">
        <v>48.4</v>
      </c>
      <c r="F312" s="2">
        <v>14.4</v>
      </c>
      <c r="G312" s="2">
        <v>203.0</v>
      </c>
      <c r="H312" s="2">
        <v>4625.0</v>
      </c>
      <c r="I312" s="2" t="s">
        <v>10</v>
      </c>
      <c r="J312" s="2">
        <f t="shared" si="3"/>
        <v>0</v>
      </c>
    </row>
    <row r="313" ht="15.75" customHeight="1">
      <c r="A313" s="1" t="s">
        <v>15</v>
      </c>
      <c r="B313" s="1">
        <f t="shared" si="1"/>
        <v>3</v>
      </c>
      <c r="C313" s="2" t="s">
        <v>12</v>
      </c>
      <c r="D313" s="2">
        <f t="shared" si="2"/>
        <v>2</v>
      </c>
      <c r="E313" s="2">
        <v>51.1</v>
      </c>
      <c r="F313" s="2">
        <v>16.5</v>
      </c>
      <c r="G313" s="2">
        <v>225.0</v>
      </c>
      <c r="H313" s="2">
        <v>5250.0</v>
      </c>
      <c r="I313" s="2" t="s">
        <v>9</v>
      </c>
      <c r="J313" s="2">
        <f t="shared" si="3"/>
        <v>1</v>
      </c>
    </row>
    <row r="314" ht="15.75" customHeight="1">
      <c r="A314" s="1" t="s">
        <v>15</v>
      </c>
      <c r="B314" s="1">
        <f t="shared" si="1"/>
        <v>3</v>
      </c>
      <c r="C314" s="2" t="s">
        <v>12</v>
      </c>
      <c r="D314" s="2">
        <f t="shared" si="2"/>
        <v>2</v>
      </c>
      <c r="E314" s="2">
        <v>48.5</v>
      </c>
      <c r="F314" s="2">
        <v>15.0</v>
      </c>
      <c r="G314" s="2">
        <v>219.0</v>
      </c>
      <c r="H314" s="2">
        <v>4850.0</v>
      </c>
      <c r="I314" s="2" t="s">
        <v>10</v>
      </c>
      <c r="J314" s="2">
        <f t="shared" si="3"/>
        <v>0</v>
      </c>
    </row>
    <row r="315" ht="15.75" customHeight="1">
      <c r="A315" s="1" t="s">
        <v>15</v>
      </c>
      <c r="B315" s="1">
        <f t="shared" si="1"/>
        <v>3</v>
      </c>
      <c r="C315" s="2" t="s">
        <v>12</v>
      </c>
      <c r="D315" s="2">
        <f t="shared" si="2"/>
        <v>2</v>
      </c>
      <c r="E315" s="2">
        <v>55.9</v>
      </c>
      <c r="F315" s="2">
        <v>17.0</v>
      </c>
      <c r="G315" s="2">
        <v>228.0</v>
      </c>
      <c r="H315" s="2">
        <v>5600.0</v>
      </c>
      <c r="I315" s="2" t="s">
        <v>9</v>
      </c>
      <c r="J315" s="2">
        <f t="shared" si="3"/>
        <v>1</v>
      </c>
    </row>
    <row r="316" ht="15.75" customHeight="1">
      <c r="A316" s="1" t="s">
        <v>15</v>
      </c>
      <c r="B316" s="1">
        <f t="shared" si="1"/>
        <v>3</v>
      </c>
      <c r="C316" s="2" t="s">
        <v>12</v>
      </c>
      <c r="D316" s="2">
        <f t="shared" si="2"/>
        <v>2</v>
      </c>
      <c r="E316" s="2">
        <v>47.2</v>
      </c>
      <c r="F316" s="2">
        <v>15.5</v>
      </c>
      <c r="G316" s="2">
        <v>215.0</v>
      </c>
      <c r="H316" s="2">
        <v>4975.0</v>
      </c>
      <c r="I316" s="2" t="s">
        <v>10</v>
      </c>
      <c r="J316" s="2">
        <f t="shared" si="3"/>
        <v>0</v>
      </c>
    </row>
    <row r="317" ht="15.75" customHeight="1">
      <c r="A317" s="1" t="s">
        <v>15</v>
      </c>
      <c r="B317" s="1">
        <f t="shared" si="1"/>
        <v>3</v>
      </c>
      <c r="C317" s="2" t="s">
        <v>12</v>
      </c>
      <c r="D317" s="2">
        <f t="shared" si="2"/>
        <v>2</v>
      </c>
      <c r="E317" s="2">
        <v>49.1</v>
      </c>
      <c r="F317" s="2">
        <v>15.0</v>
      </c>
      <c r="G317" s="2">
        <v>228.0</v>
      </c>
      <c r="H317" s="2">
        <v>5500.0</v>
      </c>
      <c r="I317" s="2" t="s">
        <v>9</v>
      </c>
      <c r="J317" s="2">
        <f t="shared" si="3"/>
        <v>1</v>
      </c>
    </row>
    <row r="318" ht="15.75" customHeight="1">
      <c r="A318" s="1" t="s">
        <v>15</v>
      </c>
      <c r="B318" s="1">
        <f t="shared" si="1"/>
        <v>3</v>
      </c>
      <c r="C318" s="2" t="s">
        <v>12</v>
      </c>
      <c r="D318" s="2">
        <f t="shared" si="2"/>
        <v>2</v>
      </c>
      <c r="E318" s="2">
        <v>46.8</v>
      </c>
      <c r="F318" s="2">
        <v>16.1</v>
      </c>
      <c r="G318" s="2">
        <v>215.0</v>
      </c>
      <c r="H318" s="2">
        <v>5500.0</v>
      </c>
      <c r="I318" s="2" t="s">
        <v>9</v>
      </c>
      <c r="J318" s="2">
        <f t="shared" si="3"/>
        <v>1</v>
      </c>
    </row>
    <row r="319" ht="15.75" customHeight="1">
      <c r="A319" s="1" t="s">
        <v>15</v>
      </c>
      <c r="B319" s="1">
        <f t="shared" si="1"/>
        <v>3</v>
      </c>
      <c r="C319" s="2" t="s">
        <v>12</v>
      </c>
      <c r="D319" s="2">
        <f t="shared" si="2"/>
        <v>2</v>
      </c>
      <c r="E319" s="2">
        <v>41.7</v>
      </c>
      <c r="F319" s="2">
        <v>14.7</v>
      </c>
      <c r="G319" s="2">
        <v>210.0</v>
      </c>
      <c r="H319" s="2">
        <v>4700.0</v>
      </c>
      <c r="I319" s="2" t="s">
        <v>10</v>
      </c>
      <c r="J319" s="2">
        <f t="shared" si="3"/>
        <v>0</v>
      </c>
    </row>
    <row r="320" ht="15.75" customHeight="1">
      <c r="A320" s="1" t="s">
        <v>15</v>
      </c>
      <c r="B320" s="1">
        <f t="shared" si="1"/>
        <v>3</v>
      </c>
      <c r="C320" s="2" t="s">
        <v>12</v>
      </c>
      <c r="D320" s="2">
        <f t="shared" si="2"/>
        <v>2</v>
      </c>
      <c r="E320" s="2">
        <v>53.4</v>
      </c>
      <c r="F320" s="2">
        <v>15.8</v>
      </c>
      <c r="G320" s="2">
        <v>219.0</v>
      </c>
      <c r="H320" s="2">
        <v>5500.0</v>
      </c>
      <c r="I320" s="2" t="s">
        <v>9</v>
      </c>
      <c r="J320" s="2">
        <f t="shared" si="3"/>
        <v>1</v>
      </c>
    </row>
    <row r="321" ht="15.75" customHeight="1">
      <c r="A321" s="1" t="s">
        <v>15</v>
      </c>
      <c r="B321" s="1">
        <f t="shared" si="1"/>
        <v>3</v>
      </c>
      <c r="C321" s="2" t="s">
        <v>12</v>
      </c>
      <c r="D321" s="2">
        <f t="shared" si="2"/>
        <v>2</v>
      </c>
      <c r="E321" s="2">
        <v>43.3</v>
      </c>
      <c r="F321" s="2">
        <v>14.0</v>
      </c>
      <c r="G321" s="2">
        <v>208.0</v>
      </c>
      <c r="H321" s="2">
        <v>4575.0</v>
      </c>
      <c r="I321" s="2" t="s">
        <v>10</v>
      </c>
      <c r="J321" s="2">
        <f t="shared" si="3"/>
        <v>0</v>
      </c>
    </row>
    <row r="322" ht="15.75" customHeight="1">
      <c r="A322" s="1" t="s">
        <v>15</v>
      </c>
      <c r="B322" s="1">
        <f t="shared" si="1"/>
        <v>3</v>
      </c>
      <c r="C322" s="2" t="s">
        <v>12</v>
      </c>
      <c r="D322" s="2">
        <f t="shared" si="2"/>
        <v>2</v>
      </c>
      <c r="E322" s="2">
        <v>48.1</v>
      </c>
      <c r="F322" s="2">
        <v>15.1</v>
      </c>
      <c r="G322" s="2">
        <v>209.0</v>
      </c>
      <c r="H322" s="2">
        <v>5500.0</v>
      </c>
      <c r="I322" s="2" t="s">
        <v>9</v>
      </c>
      <c r="J322" s="2">
        <f t="shared" si="3"/>
        <v>1</v>
      </c>
    </row>
    <row r="323" ht="15.75" customHeight="1">
      <c r="A323" s="1" t="s">
        <v>15</v>
      </c>
      <c r="B323" s="1">
        <f t="shared" si="1"/>
        <v>3</v>
      </c>
      <c r="C323" s="2" t="s">
        <v>12</v>
      </c>
      <c r="D323" s="2">
        <f t="shared" si="2"/>
        <v>2</v>
      </c>
      <c r="E323" s="2">
        <v>50.5</v>
      </c>
      <c r="F323" s="2">
        <v>15.2</v>
      </c>
      <c r="G323" s="2">
        <v>216.0</v>
      </c>
      <c r="H323" s="2">
        <v>5000.0</v>
      </c>
      <c r="I323" s="2" t="s">
        <v>10</v>
      </c>
      <c r="J323" s="2">
        <f t="shared" si="3"/>
        <v>0</v>
      </c>
    </row>
    <row r="324" ht="15.75" customHeight="1">
      <c r="A324" s="1" t="s">
        <v>15</v>
      </c>
      <c r="B324" s="1">
        <f t="shared" si="1"/>
        <v>3</v>
      </c>
      <c r="C324" s="2" t="s">
        <v>12</v>
      </c>
      <c r="D324" s="2">
        <f t="shared" si="2"/>
        <v>2</v>
      </c>
      <c r="E324" s="2">
        <v>49.8</v>
      </c>
      <c r="F324" s="2">
        <v>15.9</v>
      </c>
      <c r="G324" s="2">
        <v>229.0</v>
      </c>
      <c r="H324" s="2">
        <v>5950.0</v>
      </c>
      <c r="I324" s="2" t="s">
        <v>9</v>
      </c>
      <c r="J324" s="2">
        <f t="shared" si="3"/>
        <v>1</v>
      </c>
    </row>
    <row r="325" ht="15.75" customHeight="1">
      <c r="A325" s="1" t="s">
        <v>15</v>
      </c>
      <c r="B325" s="1">
        <f t="shared" si="1"/>
        <v>3</v>
      </c>
      <c r="C325" s="2" t="s">
        <v>12</v>
      </c>
      <c r="D325" s="2">
        <f t="shared" si="2"/>
        <v>2</v>
      </c>
      <c r="E325" s="2">
        <v>43.5</v>
      </c>
      <c r="F325" s="2">
        <v>15.2</v>
      </c>
      <c r="G325" s="2">
        <v>213.0</v>
      </c>
      <c r="H325" s="2">
        <v>4650.0</v>
      </c>
      <c r="I325" s="2" t="s">
        <v>10</v>
      </c>
      <c r="J325" s="2">
        <f t="shared" si="3"/>
        <v>0</v>
      </c>
    </row>
    <row r="326" ht="15.75" customHeight="1">
      <c r="A326" s="1" t="s">
        <v>15</v>
      </c>
      <c r="B326" s="1">
        <f t="shared" si="1"/>
        <v>3</v>
      </c>
      <c r="C326" s="2" t="s">
        <v>12</v>
      </c>
      <c r="D326" s="2">
        <f t="shared" si="2"/>
        <v>2</v>
      </c>
      <c r="E326" s="2">
        <v>51.5</v>
      </c>
      <c r="F326" s="2">
        <v>16.3</v>
      </c>
      <c r="G326" s="2">
        <v>230.0</v>
      </c>
      <c r="H326" s="2">
        <v>5500.0</v>
      </c>
      <c r="I326" s="2" t="s">
        <v>9</v>
      </c>
      <c r="J326" s="2">
        <f t="shared" si="3"/>
        <v>1</v>
      </c>
    </row>
    <row r="327" ht="15.75" customHeight="1">
      <c r="A327" s="1" t="s">
        <v>15</v>
      </c>
      <c r="B327" s="1">
        <f t="shared" si="1"/>
        <v>3</v>
      </c>
      <c r="C327" s="2" t="s">
        <v>12</v>
      </c>
      <c r="D327" s="2">
        <f t="shared" si="2"/>
        <v>2</v>
      </c>
      <c r="E327" s="2">
        <v>46.2</v>
      </c>
      <c r="F327" s="2">
        <v>14.1</v>
      </c>
      <c r="G327" s="2">
        <v>217.0</v>
      </c>
      <c r="H327" s="2">
        <v>4375.0</v>
      </c>
      <c r="I327" s="2" t="s">
        <v>10</v>
      </c>
      <c r="J327" s="2">
        <f t="shared" si="3"/>
        <v>0</v>
      </c>
    </row>
    <row r="328" ht="15.75" customHeight="1">
      <c r="A328" s="1" t="s">
        <v>15</v>
      </c>
      <c r="B328" s="1">
        <f t="shared" si="1"/>
        <v>3</v>
      </c>
      <c r="C328" s="2" t="s">
        <v>12</v>
      </c>
      <c r="D328" s="2">
        <f t="shared" si="2"/>
        <v>2</v>
      </c>
      <c r="E328" s="2">
        <v>55.1</v>
      </c>
      <c r="F328" s="2">
        <v>16.0</v>
      </c>
      <c r="G328" s="2">
        <v>230.0</v>
      </c>
      <c r="H328" s="2">
        <v>5850.0</v>
      </c>
      <c r="I328" s="2" t="s">
        <v>9</v>
      </c>
      <c r="J328" s="2">
        <f t="shared" si="3"/>
        <v>1</v>
      </c>
    </row>
    <row r="329" ht="15.75" customHeight="1">
      <c r="A329" s="1" t="s">
        <v>15</v>
      </c>
      <c r="B329" s="1">
        <f t="shared" si="1"/>
        <v>3</v>
      </c>
      <c r="C329" s="2" t="s">
        <v>12</v>
      </c>
      <c r="D329" s="2">
        <f t="shared" si="2"/>
        <v>2</v>
      </c>
      <c r="E329" s="2">
        <v>48.8</v>
      </c>
      <c r="F329" s="2">
        <v>16.2</v>
      </c>
      <c r="G329" s="2">
        <v>222.0</v>
      </c>
      <c r="H329" s="2">
        <v>6000.0</v>
      </c>
      <c r="I329" s="2" t="s">
        <v>9</v>
      </c>
      <c r="J329" s="2">
        <f t="shared" si="3"/>
        <v>1</v>
      </c>
    </row>
    <row r="330" ht="15.75" customHeight="1">
      <c r="A330" s="1" t="s">
        <v>15</v>
      </c>
      <c r="B330" s="1">
        <f t="shared" si="1"/>
        <v>3</v>
      </c>
      <c r="C330" s="2" t="s">
        <v>12</v>
      </c>
      <c r="D330" s="2">
        <f t="shared" si="2"/>
        <v>2</v>
      </c>
      <c r="E330" s="2">
        <v>47.2</v>
      </c>
      <c r="F330" s="2">
        <v>13.7</v>
      </c>
      <c r="G330" s="2">
        <v>214.0</v>
      </c>
      <c r="H330" s="2">
        <v>4925.0</v>
      </c>
      <c r="I330" s="2" t="s">
        <v>10</v>
      </c>
      <c r="J330" s="2">
        <f t="shared" si="3"/>
        <v>0</v>
      </c>
    </row>
    <row r="331" ht="15.75" customHeight="1">
      <c r="A331" s="1" t="s">
        <v>15</v>
      </c>
      <c r="B331" s="1">
        <f t="shared" si="1"/>
        <v>3</v>
      </c>
      <c r="C331" s="2" t="s">
        <v>12</v>
      </c>
      <c r="D331" s="2">
        <f t="shared" si="2"/>
        <v>2</v>
      </c>
      <c r="E331" s="2">
        <v>46.8</v>
      </c>
      <c r="F331" s="2">
        <v>14.3</v>
      </c>
      <c r="G331" s="2">
        <v>215.0</v>
      </c>
      <c r="H331" s="2">
        <v>4850.0</v>
      </c>
      <c r="I331" s="2" t="s">
        <v>10</v>
      </c>
      <c r="J331" s="2">
        <f t="shared" si="3"/>
        <v>0</v>
      </c>
    </row>
    <row r="332" ht="15.75" customHeight="1">
      <c r="A332" s="1" t="s">
        <v>15</v>
      </c>
      <c r="B332" s="1">
        <f t="shared" si="1"/>
        <v>3</v>
      </c>
      <c r="C332" s="2" t="s">
        <v>12</v>
      </c>
      <c r="D332" s="2">
        <f t="shared" si="2"/>
        <v>2</v>
      </c>
      <c r="E332" s="2">
        <v>50.4</v>
      </c>
      <c r="F332" s="2">
        <v>15.7</v>
      </c>
      <c r="G332" s="2">
        <v>222.0</v>
      </c>
      <c r="H332" s="2">
        <v>5750.0</v>
      </c>
      <c r="I332" s="2" t="s">
        <v>9</v>
      </c>
      <c r="J332" s="2">
        <f t="shared" si="3"/>
        <v>1</v>
      </c>
    </row>
    <row r="333" ht="15.75" customHeight="1">
      <c r="A333" s="1" t="s">
        <v>15</v>
      </c>
      <c r="B333" s="1">
        <f t="shared" si="1"/>
        <v>3</v>
      </c>
      <c r="C333" s="2" t="s">
        <v>12</v>
      </c>
      <c r="D333" s="2">
        <f t="shared" si="2"/>
        <v>2</v>
      </c>
      <c r="E333" s="2">
        <v>45.2</v>
      </c>
      <c r="F333" s="2">
        <v>14.8</v>
      </c>
      <c r="G333" s="2">
        <v>212.0</v>
      </c>
      <c r="H333" s="2">
        <v>5200.0</v>
      </c>
      <c r="I333" s="2" t="s">
        <v>10</v>
      </c>
      <c r="J333" s="2">
        <f t="shared" si="3"/>
        <v>0</v>
      </c>
    </row>
    <row r="334" ht="15.75" customHeight="1">
      <c r="A334" s="1" t="s">
        <v>15</v>
      </c>
      <c r="B334" s="1">
        <f t="shared" si="1"/>
        <v>3</v>
      </c>
      <c r="C334" s="2" t="s">
        <v>12</v>
      </c>
      <c r="D334" s="2">
        <f t="shared" si="2"/>
        <v>2</v>
      </c>
      <c r="E334" s="2">
        <v>49.9</v>
      </c>
      <c r="F334" s="2">
        <v>16.1</v>
      </c>
      <c r="G334" s="2">
        <v>213.0</v>
      </c>
      <c r="H334" s="2">
        <v>5400.0</v>
      </c>
      <c r="I334" s="2" t="s">
        <v>9</v>
      </c>
      <c r="J334" s="2">
        <f t="shared" si="3"/>
        <v>1</v>
      </c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1.0"/>
    <col customWidth="1" min="3" max="3" width="20.71"/>
    <col customWidth="1" min="4" max="4" width="15.86"/>
    <col customWidth="1" min="5" max="6" width="14.43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/>
    </row>
    <row r="2">
      <c r="A2" s="2">
        <v>39.1</v>
      </c>
      <c r="B2" s="2">
        <v>18.7</v>
      </c>
      <c r="C2" s="2">
        <v>181.0</v>
      </c>
      <c r="D2" s="2">
        <v>3750.0</v>
      </c>
      <c r="E2" s="2"/>
    </row>
    <row r="3">
      <c r="A3" s="2">
        <v>39.5</v>
      </c>
      <c r="B3" s="2">
        <v>17.4</v>
      </c>
      <c r="C3" s="2">
        <v>186.0</v>
      </c>
      <c r="D3" s="2">
        <v>3800.0</v>
      </c>
      <c r="E3" s="6"/>
    </row>
    <row r="4">
      <c r="A4" s="2">
        <v>40.3</v>
      </c>
      <c r="B4" s="2">
        <v>18.0</v>
      </c>
      <c r="C4" s="2">
        <v>195.0</v>
      </c>
      <c r="D4" s="2">
        <v>3250.0</v>
      </c>
      <c r="E4" s="2"/>
    </row>
    <row r="5">
      <c r="A5" s="2">
        <v>36.7</v>
      </c>
      <c r="B5" s="2">
        <v>19.3</v>
      </c>
      <c r="C5" s="2">
        <v>193.0</v>
      </c>
      <c r="D5" s="2">
        <v>3450.0</v>
      </c>
      <c r="E5" s="2"/>
      <c r="F5" s="7"/>
    </row>
    <row r="6">
      <c r="A6" s="2">
        <v>39.3</v>
      </c>
      <c r="B6" s="2">
        <v>20.6</v>
      </c>
      <c r="C6" s="2">
        <v>190.0</v>
      </c>
      <c r="D6" s="2">
        <v>3650.0</v>
      </c>
      <c r="E6" s="2"/>
    </row>
    <row r="7">
      <c r="A7" s="2">
        <v>38.9</v>
      </c>
      <c r="B7" s="2">
        <v>17.8</v>
      </c>
      <c r="C7" s="2">
        <v>181.0</v>
      </c>
      <c r="D7" s="2">
        <v>3625.0</v>
      </c>
      <c r="E7" s="2"/>
    </row>
    <row r="8">
      <c r="A8" s="2">
        <v>39.2</v>
      </c>
      <c r="B8" s="2">
        <v>19.6</v>
      </c>
      <c r="C8" s="2">
        <v>195.0</v>
      </c>
      <c r="D8" s="2">
        <v>4675.0</v>
      </c>
      <c r="E8" s="2"/>
    </row>
    <row r="9">
      <c r="A9" s="2">
        <v>41.1</v>
      </c>
      <c r="B9" s="2">
        <v>17.6</v>
      </c>
      <c r="C9" s="2">
        <v>182.0</v>
      </c>
      <c r="D9" s="2">
        <v>3200.0</v>
      </c>
      <c r="E9" s="2"/>
    </row>
    <row r="10">
      <c r="A10" s="2">
        <v>38.6</v>
      </c>
      <c r="B10" s="2">
        <v>21.2</v>
      </c>
      <c r="C10" s="2">
        <v>191.0</v>
      </c>
      <c r="D10" s="2">
        <v>3800.0</v>
      </c>
      <c r="E10" s="2"/>
    </row>
    <row r="11">
      <c r="A11" s="2">
        <v>34.6</v>
      </c>
      <c r="B11" s="2">
        <v>21.1</v>
      </c>
      <c r="C11" s="2">
        <v>198.0</v>
      </c>
      <c r="D11" s="2">
        <v>4400.0</v>
      </c>
      <c r="E11" s="2"/>
    </row>
    <row r="12">
      <c r="A12" s="2">
        <v>36.6</v>
      </c>
      <c r="B12" s="2">
        <v>17.8</v>
      </c>
      <c r="C12" s="2">
        <v>185.0</v>
      </c>
      <c r="D12" s="2">
        <v>3700.0</v>
      </c>
      <c r="E12" s="2"/>
    </row>
    <row r="13">
      <c r="A13" s="2">
        <v>38.7</v>
      </c>
      <c r="B13" s="2">
        <v>19.0</v>
      </c>
      <c r="C13" s="2">
        <v>195.0</v>
      </c>
      <c r="D13" s="2">
        <v>3450.0</v>
      </c>
      <c r="E13" s="2"/>
    </row>
    <row r="14">
      <c r="A14" s="2">
        <v>42.5</v>
      </c>
      <c r="B14" s="2">
        <v>20.7</v>
      </c>
      <c r="C14" s="2">
        <v>197.0</v>
      </c>
      <c r="D14" s="2">
        <v>4500.0</v>
      </c>
      <c r="E14" s="2"/>
    </row>
    <row r="15">
      <c r="A15" s="2">
        <v>34.4</v>
      </c>
      <c r="B15" s="2">
        <v>18.4</v>
      </c>
      <c r="C15" s="2">
        <v>184.0</v>
      </c>
      <c r="D15" s="2">
        <v>3325.0</v>
      </c>
      <c r="E15" s="2"/>
    </row>
    <row r="16">
      <c r="A16" s="2">
        <v>46.0</v>
      </c>
      <c r="B16" s="2">
        <v>21.5</v>
      </c>
      <c r="C16" s="2">
        <v>194.0</v>
      </c>
      <c r="D16" s="2">
        <v>4200.0</v>
      </c>
      <c r="E16" s="2"/>
    </row>
    <row r="17">
      <c r="A17" s="2">
        <v>37.8</v>
      </c>
      <c r="B17" s="2">
        <v>18.3</v>
      </c>
      <c r="C17" s="2">
        <v>174.0</v>
      </c>
      <c r="D17" s="2">
        <v>3400.0</v>
      </c>
      <c r="E17" s="2"/>
    </row>
    <row r="18">
      <c r="A18" s="2">
        <v>37.7</v>
      </c>
      <c r="B18" s="2">
        <v>18.7</v>
      </c>
      <c r="C18" s="2">
        <v>180.0</v>
      </c>
      <c r="D18" s="2">
        <v>3600.0</v>
      </c>
      <c r="E18" s="2"/>
    </row>
    <row r="19">
      <c r="A19" s="2">
        <v>35.9</v>
      </c>
      <c r="B19" s="2">
        <v>19.2</v>
      </c>
      <c r="C19" s="2">
        <v>189.0</v>
      </c>
      <c r="D19" s="2">
        <v>3800.0</v>
      </c>
      <c r="E19" s="2"/>
    </row>
    <row r="20">
      <c r="A20" s="2">
        <v>38.2</v>
      </c>
      <c r="B20" s="2">
        <v>18.1</v>
      </c>
      <c r="C20" s="2">
        <v>185.0</v>
      </c>
      <c r="D20" s="2">
        <v>3950.0</v>
      </c>
      <c r="E20" s="2"/>
    </row>
    <row r="21" ht="15.75" customHeight="1">
      <c r="A21" s="2">
        <v>38.8</v>
      </c>
      <c r="B21" s="2">
        <v>17.2</v>
      </c>
      <c r="C21" s="2">
        <v>180.0</v>
      </c>
      <c r="D21" s="2">
        <v>3800.0</v>
      </c>
      <c r="E21" s="2"/>
    </row>
    <row r="22" ht="15.75" customHeight="1">
      <c r="A22" s="2">
        <v>35.3</v>
      </c>
      <c r="B22" s="2">
        <v>18.9</v>
      </c>
      <c r="C22" s="2">
        <v>187.0</v>
      </c>
      <c r="D22" s="2">
        <v>3800.0</v>
      </c>
      <c r="E22" s="2"/>
    </row>
    <row r="23" ht="15.75" customHeight="1">
      <c r="A23" s="2">
        <v>40.6</v>
      </c>
      <c r="B23" s="2">
        <v>18.6</v>
      </c>
      <c r="C23" s="2">
        <v>183.0</v>
      </c>
      <c r="D23" s="2">
        <v>3550.0</v>
      </c>
      <c r="E23" s="2"/>
    </row>
    <row r="24" ht="15.75" customHeight="1">
      <c r="A24" s="2">
        <v>40.5</v>
      </c>
      <c r="B24" s="2">
        <v>17.9</v>
      </c>
      <c r="C24" s="2">
        <v>187.0</v>
      </c>
      <c r="D24" s="2">
        <v>3200.0</v>
      </c>
      <c r="E24" s="2"/>
    </row>
    <row r="25" ht="15.75" customHeight="1">
      <c r="A25" s="2">
        <v>37.9</v>
      </c>
      <c r="B25" s="2">
        <v>18.6</v>
      </c>
      <c r="C25" s="2">
        <v>172.0</v>
      </c>
      <c r="D25" s="2">
        <v>3150.0</v>
      </c>
      <c r="E25" s="2"/>
    </row>
    <row r="26" ht="15.75" customHeight="1">
      <c r="A26" s="2">
        <v>40.5</v>
      </c>
      <c r="B26" s="2">
        <v>18.9</v>
      </c>
      <c r="C26" s="2">
        <v>180.0</v>
      </c>
      <c r="D26" s="2">
        <v>3950.0</v>
      </c>
      <c r="E26" s="2"/>
    </row>
    <row r="27" ht="15.75" customHeight="1">
      <c r="A27" s="2">
        <v>39.5</v>
      </c>
      <c r="B27" s="2">
        <v>16.7</v>
      </c>
      <c r="C27" s="2">
        <v>178.0</v>
      </c>
      <c r="D27" s="2">
        <v>3250.0</v>
      </c>
      <c r="E27" s="2"/>
    </row>
    <row r="28" ht="15.75" customHeight="1">
      <c r="A28" s="2">
        <v>37.2</v>
      </c>
      <c r="B28" s="2">
        <v>18.1</v>
      </c>
      <c r="C28" s="2">
        <v>178.0</v>
      </c>
      <c r="D28" s="2">
        <v>3900.0</v>
      </c>
      <c r="E28" s="2"/>
    </row>
    <row r="29" ht="15.75" customHeight="1">
      <c r="A29" s="2">
        <v>39.5</v>
      </c>
      <c r="B29" s="2">
        <v>17.8</v>
      </c>
      <c r="C29" s="2">
        <v>188.0</v>
      </c>
      <c r="D29" s="2">
        <v>3300.0</v>
      </c>
      <c r="E29" s="2"/>
    </row>
    <row r="30" ht="15.75" customHeight="1">
      <c r="A30" s="2">
        <v>40.9</v>
      </c>
      <c r="B30" s="2">
        <v>18.9</v>
      </c>
      <c r="C30" s="2">
        <v>184.0</v>
      </c>
      <c r="D30" s="2">
        <v>3900.0</v>
      </c>
      <c r="E30" s="2"/>
    </row>
    <row r="31" ht="15.75" customHeight="1">
      <c r="A31" s="2">
        <v>36.4</v>
      </c>
      <c r="B31" s="2">
        <v>17.0</v>
      </c>
      <c r="C31" s="2">
        <v>195.0</v>
      </c>
      <c r="D31" s="2">
        <v>3325.0</v>
      </c>
      <c r="E31" s="2"/>
    </row>
    <row r="32" ht="15.75" customHeight="1">
      <c r="A32" s="2">
        <v>39.2</v>
      </c>
      <c r="B32" s="2">
        <v>21.1</v>
      </c>
      <c r="C32" s="2">
        <v>196.0</v>
      </c>
      <c r="D32" s="2">
        <v>4150.0</v>
      </c>
      <c r="E32" s="2"/>
    </row>
    <row r="33" ht="15.75" customHeight="1">
      <c r="A33" s="2">
        <v>38.8</v>
      </c>
      <c r="B33" s="2">
        <v>20.0</v>
      </c>
      <c r="C33" s="2">
        <v>190.0</v>
      </c>
      <c r="D33" s="2">
        <v>3950.0</v>
      </c>
      <c r="E33" s="2"/>
    </row>
    <row r="34" ht="15.75" customHeight="1">
      <c r="A34" s="2">
        <v>42.2</v>
      </c>
      <c r="B34" s="2">
        <v>18.5</v>
      </c>
      <c r="C34" s="2">
        <v>180.0</v>
      </c>
      <c r="D34" s="2">
        <v>3550.0</v>
      </c>
      <c r="E34" s="2"/>
    </row>
    <row r="35" ht="15.75" customHeight="1">
      <c r="A35" s="2">
        <v>37.6</v>
      </c>
      <c r="B35" s="2">
        <v>19.3</v>
      </c>
      <c r="C35" s="2">
        <v>181.0</v>
      </c>
      <c r="D35" s="2">
        <v>3300.0</v>
      </c>
      <c r="E35" s="2"/>
    </row>
    <row r="36" ht="15.75" customHeight="1">
      <c r="A36" s="2">
        <v>39.8</v>
      </c>
      <c r="B36" s="2">
        <v>19.1</v>
      </c>
      <c r="C36" s="2">
        <v>184.0</v>
      </c>
      <c r="D36" s="2">
        <v>4650.0</v>
      </c>
      <c r="E36" s="2"/>
    </row>
    <row r="37" ht="15.75" customHeight="1">
      <c r="A37" s="2">
        <v>36.5</v>
      </c>
      <c r="B37" s="2">
        <v>18.0</v>
      </c>
      <c r="C37" s="2">
        <v>182.0</v>
      </c>
      <c r="D37" s="2">
        <v>3150.0</v>
      </c>
      <c r="E37" s="2"/>
    </row>
    <row r="38" ht="15.75" customHeight="1">
      <c r="A38" s="2">
        <v>40.8</v>
      </c>
      <c r="B38" s="2">
        <v>18.4</v>
      </c>
      <c r="C38" s="2">
        <v>195.0</v>
      </c>
      <c r="D38" s="2">
        <v>3900.0</v>
      </c>
      <c r="E38" s="2"/>
    </row>
    <row r="39" ht="15.75" customHeight="1">
      <c r="A39" s="2">
        <v>36.0</v>
      </c>
      <c r="B39" s="2">
        <v>18.5</v>
      </c>
      <c r="C39" s="2">
        <v>186.0</v>
      </c>
      <c r="D39" s="2">
        <v>3100.0</v>
      </c>
      <c r="E39" s="2"/>
    </row>
    <row r="40" ht="15.75" customHeight="1">
      <c r="A40" s="2">
        <v>44.1</v>
      </c>
      <c r="B40" s="2">
        <v>19.7</v>
      </c>
      <c r="C40" s="2">
        <v>196.0</v>
      </c>
      <c r="D40" s="2">
        <v>4400.0</v>
      </c>
      <c r="E40" s="2"/>
    </row>
    <row r="41" ht="15.75" customHeight="1">
      <c r="A41" s="2">
        <v>37.0</v>
      </c>
      <c r="B41" s="2">
        <v>16.9</v>
      </c>
      <c r="C41" s="2">
        <v>185.0</v>
      </c>
      <c r="D41" s="2">
        <v>3000.0</v>
      </c>
      <c r="E41" s="2"/>
    </row>
    <row r="42" ht="15.75" customHeight="1">
      <c r="A42" s="2">
        <v>39.6</v>
      </c>
      <c r="B42" s="2">
        <v>18.8</v>
      </c>
      <c r="C42" s="2">
        <v>190.0</v>
      </c>
      <c r="D42" s="2">
        <v>4600.0</v>
      </c>
      <c r="E42" s="2"/>
    </row>
    <row r="43" ht="15.75" customHeight="1">
      <c r="A43" s="2">
        <v>41.1</v>
      </c>
      <c r="B43" s="2">
        <v>19.0</v>
      </c>
      <c r="C43" s="2">
        <v>182.0</v>
      </c>
      <c r="D43" s="2">
        <v>3425.0</v>
      </c>
      <c r="E43" s="2"/>
    </row>
    <row r="44" ht="15.75" customHeight="1">
      <c r="A44" s="2">
        <v>36.0</v>
      </c>
      <c r="B44" s="2">
        <v>17.9</v>
      </c>
      <c r="C44" s="2">
        <v>190.0</v>
      </c>
      <c r="D44" s="2">
        <v>3450.0</v>
      </c>
      <c r="E44" s="2"/>
    </row>
    <row r="45" ht="15.75" customHeight="1">
      <c r="A45" s="2">
        <v>42.3</v>
      </c>
      <c r="B45" s="2">
        <v>21.2</v>
      </c>
      <c r="C45" s="2">
        <v>191.0</v>
      </c>
      <c r="D45" s="2">
        <v>4150.0</v>
      </c>
      <c r="E45" s="2"/>
    </row>
    <row r="46" ht="15.75" customHeight="1">
      <c r="A46" s="2">
        <v>39.6</v>
      </c>
      <c r="B46" s="2">
        <v>17.7</v>
      </c>
      <c r="C46" s="2">
        <v>186.0</v>
      </c>
      <c r="D46" s="2">
        <v>3500.0</v>
      </c>
      <c r="E46" s="2"/>
    </row>
    <row r="47" ht="15.75" customHeight="1">
      <c r="A47" s="2">
        <v>40.1</v>
      </c>
      <c r="B47" s="2">
        <v>18.9</v>
      </c>
      <c r="C47" s="2">
        <v>188.0</v>
      </c>
      <c r="D47" s="2">
        <v>4300.0</v>
      </c>
      <c r="E47" s="2"/>
    </row>
    <row r="48" ht="15.75" customHeight="1">
      <c r="A48" s="2">
        <v>35.0</v>
      </c>
      <c r="B48" s="2">
        <v>17.9</v>
      </c>
      <c r="C48" s="2">
        <v>190.0</v>
      </c>
      <c r="D48" s="2">
        <v>3450.0</v>
      </c>
      <c r="E48" s="2"/>
    </row>
    <row r="49" ht="15.75" customHeight="1">
      <c r="A49" s="2">
        <v>42.0</v>
      </c>
      <c r="B49" s="2">
        <v>19.5</v>
      </c>
      <c r="C49" s="2">
        <v>200.0</v>
      </c>
      <c r="D49" s="2">
        <v>4050.0</v>
      </c>
      <c r="E49" s="2"/>
    </row>
    <row r="50" ht="15.75" customHeight="1">
      <c r="A50" s="2">
        <v>34.5</v>
      </c>
      <c r="B50" s="2">
        <v>18.1</v>
      </c>
      <c r="C50" s="2">
        <v>187.0</v>
      </c>
      <c r="D50" s="2">
        <v>2900.0</v>
      </c>
      <c r="E50" s="2"/>
    </row>
    <row r="51" ht="15.75" customHeight="1">
      <c r="A51" s="2">
        <v>41.4</v>
      </c>
      <c r="B51" s="2">
        <v>18.6</v>
      </c>
      <c r="C51" s="2">
        <v>191.0</v>
      </c>
      <c r="D51" s="2">
        <v>3700.0</v>
      </c>
      <c r="E51" s="2"/>
    </row>
    <row r="52" ht="15.75" customHeight="1">
      <c r="A52" s="2">
        <v>39.0</v>
      </c>
      <c r="B52" s="2">
        <v>17.5</v>
      </c>
      <c r="C52" s="2">
        <v>186.0</v>
      </c>
      <c r="D52" s="2">
        <v>3550.0</v>
      </c>
      <c r="E52" s="2"/>
    </row>
    <row r="53" ht="15.75" customHeight="1">
      <c r="A53" s="2">
        <v>40.6</v>
      </c>
      <c r="B53" s="2">
        <v>18.8</v>
      </c>
      <c r="C53" s="2">
        <v>193.0</v>
      </c>
      <c r="D53" s="2">
        <v>3800.0</v>
      </c>
      <c r="E53" s="2"/>
    </row>
    <row r="54" ht="15.75" customHeight="1">
      <c r="A54" s="2">
        <v>36.5</v>
      </c>
      <c r="B54" s="2">
        <v>16.6</v>
      </c>
      <c r="C54" s="2">
        <v>181.0</v>
      </c>
      <c r="D54" s="2">
        <v>2850.0</v>
      </c>
      <c r="E54" s="2"/>
    </row>
    <row r="55" ht="15.75" customHeight="1">
      <c r="A55" s="2">
        <v>37.6</v>
      </c>
      <c r="B55" s="2">
        <v>19.1</v>
      </c>
      <c r="C55" s="2">
        <v>194.0</v>
      </c>
      <c r="D55" s="2">
        <v>3750.0</v>
      </c>
      <c r="E55" s="2"/>
    </row>
    <row r="56" ht="15.75" customHeight="1">
      <c r="A56" s="2">
        <v>35.7</v>
      </c>
      <c r="B56" s="2">
        <v>16.9</v>
      </c>
      <c r="C56" s="2">
        <v>185.0</v>
      </c>
      <c r="D56" s="2">
        <v>3150.0</v>
      </c>
      <c r="E56" s="2"/>
    </row>
    <row r="57" ht="15.75" customHeight="1">
      <c r="A57" s="2">
        <v>41.3</v>
      </c>
      <c r="B57" s="2">
        <v>21.1</v>
      </c>
      <c r="C57" s="2">
        <v>195.0</v>
      </c>
      <c r="D57" s="2">
        <v>4400.0</v>
      </c>
      <c r="E57" s="2"/>
    </row>
    <row r="58" ht="15.75" customHeight="1">
      <c r="A58" s="2">
        <v>37.6</v>
      </c>
      <c r="B58" s="2">
        <v>17.0</v>
      </c>
      <c r="C58" s="2">
        <v>185.0</v>
      </c>
      <c r="D58" s="2">
        <v>3600.0</v>
      </c>
      <c r="E58" s="2"/>
    </row>
    <row r="59" ht="15.75" customHeight="1">
      <c r="A59" s="2">
        <v>41.1</v>
      </c>
      <c r="B59" s="2">
        <v>18.2</v>
      </c>
      <c r="C59" s="2">
        <v>192.0</v>
      </c>
      <c r="D59" s="2">
        <v>4050.0</v>
      </c>
      <c r="E59" s="2"/>
    </row>
    <row r="60" ht="15.75" customHeight="1">
      <c r="A60" s="2">
        <v>36.4</v>
      </c>
      <c r="B60" s="2">
        <v>17.1</v>
      </c>
      <c r="C60" s="2">
        <v>184.0</v>
      </c>
      <c r="D60" s="2">
        <v>2850.0</v>
      </c>
      <c r="E60" s="2"/>
    </row>
    <row r="61" ht="15.75" customHeight="1">
      <c r="A61" s="2">
        <v>41.6</v>
      </c>
      <c r="B61" s="2">
        <v>18.0</v>
      </c>
      <c r="C61" s="2">
        <v>192.0</v>
      </c>
      <c r="D61" s="2">
        <v>3950.0</v>
      </c>
      <c r="E61" s="2"/>
    </row>
    <row r="62" ht="15.75" customHeight="1">
      <c r="A62" s="2">
        <v>35.5</v>
      </c>
      <c r="B62" s="2">
        <v>16.2</v>
      </c>
      <c r="C62" s="2">
        <v>195.0</v>
      </c>
      <c r="D62" s="2">
        <v>3350.0</v>
      </c>
      <c r="E62" s="2"/>
    </row>
    <row r="63" ht="15.75" customHeight="1">
      <c r="A63" s="2">
        <v>41.1</v>
      </c>
      <c r="B63" s="2">
        <v>19.1</v>
      </c>
      <c r="C63" s="2">
        <v>188.0</v>
      </c>
      <c r="D63" s="2">
        <v>4100.0</v>
      </c>
      <c r="E63" s="2"/>
    </row>
    <row r="64" ht="15.75" customHeight="1">
      <c r="A64" s="2">
        <v>35.9</v>
      </c>
      <c r="B64" s="2">
        <v>16.6</v>
      </c>
      <c r="C64" s="2">
        <v>190.0</v>
      </c>
      <c r="D64" s="2">
        <v>3050.0</v>
      </c>
      <c r="E64" s="2"/>
    </row>
    <row r="65" ht="15.75" customHeight="1">
      <c r="A65" s="2">
        <v>41.8</v>
      </c>
      <c r="B65" s="2">
        <v>19.4</v>
      </c>
      <c r="C65" s="2">
        <v>198.0</v>
      </c>
      <c r="D65" s="2">
        <v>4450.0</v>
      </c>
      <c r="E65" s="2"/>
    </row>
    <row r="66" ht="15.75" customHeight="1">
      <c r="A66" s="2">
        <v>33.5</v>
      </c>
      <c r="B66" s="2">
        <v>19.0</v>
      </c>
      <c r="C66" s="2">
        <v>190.0</v>
      </c>
      <c r="D66" s="2">
        <v>3600.0</v>
      </c>
      <c r="E66" s="2"/>
    </row>
    <row r="67" ht="15.75" customHeight="1">
      <c r="A67" s="2">
        <v>39.7</v>
      </c>
      <c r="B67" s="2">
        <v>18.4</v>
      </c>
      <c r="C67" s="2">
        <v>190.0</v>
      </c>
      <c r="D67" s="2">
        <v>3900.0</v>
      </c>
      <c r="E67" s="2"/>
    </row>
    <row r="68" ht="15.75" customHeight="1">
      <c r="A68" s="2">
        <v>39.6</v>
      </c>
      <c r="B68" s="2">
        <v>17.2</v>
      </c>
      <c r="C68" s="2">
        <v>196.0</v>
      </c>
      <c r="D68" s="2">
        <v>3550.0</v>
      </c>
      <c r="E68" s="2"/>
    </row>
    <row r="69" ht="15.75" customHeight="1">
      <c r="A69" s="2">
        <v>45.8</v>
      </c>
      <c r="B69" s="2">
        <v>18.9</v>
      </c>
      <c r="C69" s="2">
        <v>197.0</v>
      </c>
      <c r="D69" s="2">
        <v>4150.0</v>
      </c>
      <c r="E69" s="2"/>
    </row>
    <row r="70" ht="15.75" customHeight="1">
      <c r="A70" s="2">
        <v>35.5</v>
      </c>
      <c r="B70" s="2">
        <v>17.5</v>
      </c>
      <c r="C70" s="2">
        <v>190.0</v>
      </c>
      <c r="D70" s="2">
        <v>3700.0</v>
      </c>
      <c r="E70" s="2"/>
    </row>
    <row r="71" ht="15.75" customHeight="1">
      <c r="A71" s="2">
        <v>42.8</v>
      </c>
      <c r="B71" s="2">
        <v>18.5</v>
      </c>
      <c r="C71" s="2">
        <v>195.0</v>
      </c>
      <c r="D71" s="2">
        <v>4250.0</v>
      </c>
      <c r="E71" s="2"/>
    </row>
    <row r="72" ht="15.75" customHeight="1">
      <c r="A72" s="2">
        <v>40.9</v>
      </c>
      <c r="B72" s="2">
        <v>16.8</v>
      </c>
      <c r="C72" s="2">
        <v>191.0</v>
      </c>
      <c r="D72" s="2">
        <v>3700.0</v>
      </c>
      <c r="E72" s="2"/>
    </row>
    <row r="73" ht="15.75" customHeight="1">
      <c r="A73" s="2">
        <v>37.2</v>
      </c>
      <c r="B73" s="2">
        <v>19.4</v>
      </c>
      <c r="C73" s="2">
        <v>184.0</v>
      </c>
      <c r="D73" s="2">
        <v>3900.0</v>
      </c>
      <c r="E73" s="2"/>
    </row>
    <row r="74" ht="15.75" customHeight="1">
      <c r="A74" s="2">
        <v>36.2</v>
      </c>
      <c r="B74" s="2">
        <v>16.1</v>
      </c>
      <c r="C74" s="2">
        <v>187.0</v>
      </c>
      <c r="D74" s="2">
        <v>3550.0</v>
      </c>
      <c r="E74" s="2"/>
    </row>
    <row r="75" ht="15.75" customHeight="1">
      <c r="A75" s="2">
        <v>42.1</v>
      </c>
      <c r="B75" s="2">
        <v>19.1</v>
      </c>
      <c r="C75" s="2">
        <v>195.0</v>
      </c>
      <c r="D75" s="2">
        <v>4000.0</v>
      </c>
      <c r="E75" s="2"/>
    </row>
    <row r="76" ht="15.75" customHeight="1">
      <c r="A76" s="2">
        <v>34.6</v>
      </c>
      <c r="B76" s="2">
        <v>17.2</v>
      </c>
      <c r="C76" s="2">
        <v>189.0</v>
      </c>
      <c r="D76" s="2">
        <v>3200.0</v>
      </c>
      <c r="E76" s="2"/>
    </row>
    <row r="77" ht="15.75" customHeight="1">
      <c r="A77" s="2">
        <v>42.9</v>
      </c>
      <c r="B77" s="2">
        <v>17.6</v>
      </c>
      <c r="C77" s="2">
        <v>196.0</v>
      </c>
      <c r="D77" s="2">
        <v>4700.0</v>
      </c>
      <c r="E77" s="2"/>
    </row>
    <row r="78" ht="15.75" customHeight="1">
      <c r="A78" s="2">
        <v>36.7</v>
      </c>
      <c r="B78" s="2">
        <v>18.8</v>
      </c>
      <c r="C78" s="2">
        <v>187.0</v>
      </c>
      <c r="D78" s="2">
        <v>3800.0</v>
      </c>
      <c r="E78" s="2"/>
    </row>
    <row r="79" ht="15.75" customHeight="1">
      <c r="A79" s="2">
        <v>35.1</v>
      </c>
      <c r="B79" s="2">
        <v>19.4</v>
      </c>
      <c r="C79" s="2">
        <v>193.0</v>
      </c>
      <c r="D79" s="2">
        <v>4200.0</v>
      </c>
      <c r="E79" s="2"/>
    </row>
    <row r="80" ht="15.75" customHeight="1">
      <c r="A80" s="2">
        <v>37.3</v>
      </c>
      <c r="B80" s="2">
        <v>17.8</v>
      </c>
      <c r="C80" s="2">
        <v>191.0</v>
      </c>
      <c r="D80" s="2">
        <v>3350.0</v>
      </c>
      <c r="E80" s="2"/>
    </row>
    <row r="81" ht="15.75" customHeight="1">
      <c r="A81" s="2">
        <v>41.3</v>
      </c>
      <c r="B81" s="2">
        <v>20.3</v>
      </c>
      <c r="C81" s="2">
        <v>194.0</v>
      </c>
      <c r="D81" s="2">
        <v>3550.0</v>
      </c>
      <c r="E81" s="2"/>
    </row>
    <row r="82" ht="15.75" customHeight="1">
      <c r="A82" s="2">
        <v>36.3</v>
      </c>
      <c r="B82" s="2">
        <v>19.5</v>
      </c>
      <c r="C82" s="2">
        <v>190.0</v>
      </c>
      <c r="D82" s="2">
        <v>3800.0</v>
      </c>
      <c r="E82" s="2"/>
    </row>
    <row r="83" ht="15.75" customHeight="1">
      <c r="A83" s="2">
        <v>36.9</v>
      </c>
      <c r="B83" s="2">
        <v>18.6</v>
      </c>
      <c r="C83" s="2">
        <v>189.0</v>
      </c>
      <c r="D83" s="2">
        <v>3500.0</v>
      </c>
      <c r="E83" s="2"/>
    </row>
    <row r="84" ht="15.75" customHeight="1">
      <c r="A84" s="2">
        <v>38.3</v>
      </c>
      <c r="B84" s="2">
        <v>19.2</v>
      </c>
      <c r="C84" s="2">
        <v>189.0</v>
      </c>
      <c r="D84" s="2">
        <v>3950.0</v>
      </c>
      <c r="E84" s="2"/>
    </row>
    <row r="85" ht="15.75" customHeight="1">
      <c r="A85" s="2">
        <v>38.9</v>
      </c>
      <c r="B85" s="2">
        <v>18.8</v>
      </c>
      <c r="C85" s="2">
        <v>190.0</v>
      </c>
      <c r="D85" s="2">
        <v>3600.0</v>
      </c>
      <c r="E85" s="2"/>
    </row>
    <row r="86" ht="15.75" customHeight="1">
      <c r="A86" s="2">
        <v>35.7</v>
      </c>
      <c r="B86" s="2">
        <v>18.0</v>
      </c>
      <c r="C86" s="2">
        <v>202.0</v>
      </c>
      <c r="D86" s="2">
        <v>3550.0</v>
      </c>
      <c r="E86" s="2"/>
    </row>
    <row r="87" ht="15.75" customHeight="1">
      <c r="A87" s="2">
        <v>41.1</v>
      </c>
      <c r="B87" s="2">
        <v>18.1</v>
      </c>
      <c r="C87" s="2">
        <v>205.0</v>
      </c>
      <c r="D87" s="2">
        <v>4300.0</v>
      </c>
      <c r="E87" s="2"/>
    </row>
    <row r="88" ht="15.75" customHeight="1">
      <c r="A88" s="2">
        <v>34.0</v>
      </c>
      <c r="B88" s="2">
        <v>17.1</v>
      </c>
      <c r="C88" s="2">
        <v>185.0</v>
      </c>
      <c r="D88" s="2">
        <v>3400.0</v>
      </c>
      <c r="E88" s="2"/>
    </row>
    <row r="89" ht="15.75" customHeight="1">
      <c r="A89" s="2">
        <v>39.6</v>
      </c>
      <c r="B89" s="2">
        <v>18.1</v>
      </c>
      <c r="C89" s="2">
        <v>186.0</v>
      </c>
      <c r="D89" s="2">
        <v>4450.0</v>
      </c>
      <c r="E89" s="2"/>
    </row>
    <row r="90" ht="15.75" customHeight="1">
      <c r="A90" s="2">
        <v>36.2</v>
      </c>
      <c r="B90" s="2">
        <v>17.3</v>
      </c>
      <c r="C90" s="2">
        <v>187.0</v>
      </c>
      <c r="D90" s="2">
        <v>3300.0</v>
      </c>
      <c r="E90" s="2"/>
    </row>
    <row r="91" ht="15.75" customHeight="1">
      <c r="A91" s="2">
        <v>40.8</v>
      </c>
      <c r="B91" s="2">
        <v>18.9</v>
      </c>
      <c r="C91" s="2">
        <v>208.0</v>
      </c>
      <c r="D91" s="2">
        <v>4300.0</v>
      </c>
      <c r="E91" s="2"/>
    </row>
    <row r="92" ht="15.75" customHeight="1">
      <c r="A92" s="2">
        <v>38.1</v>
      </c>
      <c r="B92" s="2">
        <v>18.6</v>
      </c>
      <c r="C92" s="2">
        <v>190.0</v>
      </c>
      <c r="D92" s="2">
        <v>3700.0</v>
      </c>
      <c r="E92" s="2"/>
    </row>
    <row r="93" ht="15.75" customHeight="1">
      <c r="A93" s="2">
        <v>40.3</v>
      </c>
      <c r="B93" s="2">
        <v>18.5</v>
      </c>
      <c r="C93" s="2">
        <v>196.0</v>
      </c>
      <c r="D93" s="2">
        <v>4350.0</v>
      </c>
      <c r="E93" s="2"/>
    </row>
    <row r="94" ht="15.75" customHeight="1">
      <c r="A94" s="2">
        <v>33.1</v>
      </c>
      <c r="B94" s="2">
        <v>16.1</v>
      </c>
      <c r="C94" s="2">
        <v>178.0</v>
      </c>
      <c r="D94" s="2">
        <v>2900.0</v>
      </c>
      <c r="E94" s="2"/>
    </row>
    <row r="95" ht="15.75" customHeight="1">
      <c r="A95" s="2">
        <v>43.2</v>
      </c>
      <c r="B95" s="2">
        <v>18.5</v>
      </c>
      <c r="C95" s="2">
        <v>192.0</v>
      </c>
      <c r="D95" s="2">
        <v>4100.0</v>
      </c>
      <c r="E95" s="2"/>
    </row>
    <row r="96" ht="15.75" customHeight="1">
      <c r="A96" s="2">
        <v>35.0</v>
      </c>
      <c r="B96" s="2">
        <v>17.9</v>
      </c>
      <c r="C96" s="2">
        <v>192.0</v>
      </c>
      <c r="D96" s="2">
        <v>3725.0</v>
      </c>
      <c r="E96" s="2"/>
    </row>
    <row r="97" ht="15.75" customHeight="1">
      <c r="A97" s="2">
        <v>41.0</v>
      </c>
      <c r="B97" s="2">
        <v>20.0</v>
      </c>
      <c r="C97" s="2">
        <v>203.0</v>
      </c>
      <c r="D97" s="2">
        <v>4725.0</v>
      </c>
      <c r="E97" s="2"/>
    </row>
    <row r="98" ht="15.75" customHeight="1">
      <c r="A98" s="2">
        <v>37.7</v>
      </c>
      <c r="B98" s="2">
        <v>16.0</v>
      </c>
      <c r="C98" s="2">
        <v>183.0</v>
      </c>
      <c r="D98" s="2">
        <v>3075.0</v>
      </c>
      <c r="E98" s="2"/>
    </row>
    <row r="99" ht="15.75" customHeight="1">
      <c r="A99" s="2">
        <v>37.8</v>
      </c>
      <c r="B99" s="2">
        <v>20.0</v>
      </c>
      <c r="C99" s="2">
        <v>190.0</v>
      </c>
      <c r="D99" s="2">
        <v>4250.0</v>
      </c>
      <c r="E99" s="2"/>
    </row>
    <row r="100" ht="15.75" customHeight="1">
      <c r="A100" s="2">
        <v>37.9</v>
      </c>
      <c r="B100" s="2">
        <v>18.6</v>
      </c>
      <c r="C100" s="2">
        <v>193.0</v>
      </c>
      <c r="D100" s="2">
        <v>2925.0</v>
      </c>
      <c r="E100" s="2"/>
    </row>
    <row r="101" ht="15.75" customHeight="1">
      <c r="A101" s="2">
        <v>39.7</v>
      </c>
      <c r="B101" s="2">
        <v>18.9</v>
      </c>
      <c r="C101" s="2">
        <v>184.0</v>
      </c>
      <c r="D101" s="2">
        <v>3550.0</v>
      </c>
      <c r="E101" s="2"/>
    </row>
    <row r="102" ht="15.75" customHeight="1">
      <c r="A102" s="2">
        <v>38.6</v>
      </c>
      <c r="B102" s="2">
        <v>17.2</v>
      </c>
      <c r="C102" s="2">
        <v>199.0</v>
      </c>
      <c r="D102" s="2">
        <v>3750.0</v>
      </c>
      <c r="E102" s="2"/>
    </row>
    <row r="103" ht="15.75" customHeight="1">
      <c r="A103" s="2">
        <v>38.2</v>
      </c>
      <c r="B103" s="2">
        <v>20.0</v>
      </c>
      <c r="C103" s="2">
        <v>190.0</v>
      </c>
      <c r="D103" s="2">
        <v>3900.0</v>
      </c>
      <c r="E103" s="2"/>
    </row>
    <row r="104" ht="15.75" customHeight="1">
      <c r="A104" s="2">
        <v>38.1</v>
      </c>
      <c r="B104" s="2">
        <v>17.0</v>
      </c>
      <c r="C104" s="2">
        <v>181.0</v>
      </c>
      <c r="D104" s="2">
        <v>3175.0</v>
      </c>
      <c r="E104" s="2"/>
    </row>
    <row r="105" ht="15.75" customHeight="1">
      <c r="A105" s="2">
        <v>43.2</v>
      </c>
      <c r="B105" s="2">
        <v>19.0</v>
      </c>
      <c r="C105" s="2">
        <v>197.0</v>
      </c>
      <c r="D105" s="2">
        <v>4775.0</v>
      </c>
      <c r="E105" s="2"/>
    </row>
    <row r="106" ht="15.75" customHeight="1">
      <c r="A106" s="2">
        <v>38.1</v>
      </c>
      <c r="B106" s="2">
        <v>16.5</v>
      </c>
      <c r="C106" s="2">
        <v>198.0</v>
      </c>
      <c r="D106" s="2">
        <v>3825.0</v>
      </c>
      <c r="E106" s="2"/>
    </row>
    <row r="107" ht="15.75" customHeight="1">
      <c r="A107" s="2">
        <v>45.6</v>
      </c>
      <c r="B107" s="2">
        <v>20.3</v>
      </c>
      <c r="C107" s="2">
        <v>191.0</v>
      </c>
      <c r="D107" s="2">
        <v>4600.0</v>
      </c>
      <c r="E107" s="2"/>
    </row>
    <row r="108" ht="15.75" customHeight="1">
      <c r="A108" s="2">
        <v>39.7</v>
      </c>
      <c r="B108" s="2">
        <v>17.7</v>
      </c>
      <c r="C108" s="2">
        <v>193.0</v>
      </c>
      <c r="D108" s="2">
        <v>3200.0</v>
      </c>
      <c r="E108" s="2"/>
    </row>
    <row r="109" ht="15.75" customHeight="1">
      <c r="A109" s="2">
        <v>42.2</v>
      </c>
      <c r="B109" s="2">
        <v>19.5</v>
      </c>
      <c r="C109" s="2">
        <v>197.0</v>
      </c>
      <c r="D109" s="2">
        <v>4275.0</v>
      </c>
      <c r="E109" s="2"/>
    </row>
    <row r="110" ht="15.75" customHeight="1">
      <c r="A110" s="2">
        <v>39.6</v>
      </c>
      <c r="B110" s="2">
        <v>20.7</v>
      </c>
      <c r="C110" s="2">
        <v>191.0</v>
      </c>
      <c r="D110" s="2">
        <v>3900.0</v>
      </c>
      <c r="E110" s="2"/>
    </row>
    <row r="111" ht="15.75" customHeight="1">
      <c r="A111" s="2">
        <v>42.7</v>
      </c>
      <c r="B111" s="2">
        <v>18.3</v>
      </c>
      <c r="C111" s="2">
        <v>196.0</v>
      </c>
      <c r="D111" s="2">
        <v>4075.0</v>
      </c>
      <c r="E111" s="2"/>
    </row>
    <row r="112" ht="15.75" customHeight="1">
      <c r="A112" s="2">
        <v>38.6</v>
      </c>
      <c r="B112" s="2">
        <v>17.0</v>
      </c>
      <c r="C112" s="2">
        <v>188.0</v>
      </c>
      <c r="D112" s="2">
        <v>2900.0</v>
      </c>
      <c r="E112" s="2"/>
    </row>
    <row r="113" ht="15.75" customHeight="1">
      <c r="A113" s="2">
        <v>37.3</v>
      </c>
      <c r="B113" s="2">
        <v>20.5</v>
      </c>
      <c r="C113" s="2">
        <v>199.0</v>
      </c>
      <c r="D113" s="2">
        <v>3775.0</v>
      </c>
      <c r="E113" s="2"/>
    </row>
    <row r="114" ht="15.75" customHeight="1">
      <c r="A114" s="2">
        <v>35.7</v>
      </c>
      <c r="B114" s="2">
        <v>17.0</v>
      </c>
      <c r="C114" s="2">
        <v>189.0</v>
      </c>
      <c r="D114" s="2">
        <v>3350.0</v>
      </c>
      <c r="E114" s="2"/>
    </row>
    <row r="115" ht="15.75" customHeight="1">
      <c r="A115" s="2">
        <v>41.1</v>
      </c>
      <c r="B115" s="2">
        <v>18.6</v>
      </c>
      <c r="C115" s="2">
        <v>189.0</v>
      </c>
      <c r="D115" s="2">
        <v>3325.0</v>
      </c>
      <c r="E115" s="2"/>
    </row>
    <row r="116" ht="15.75" customHeight="1">
      <c r="A116" s="2">
        <v>36.2</v>
      </c>
      <c r="B116" s="2">
        <v>17.2</v>
      </c>
      <c r="C116" s="2">
        <v>187.0</v>
      </c>
      <c r="D116" s="2">
        <v>3150.0</v>
      </c>
      <c r="E116" s="2"/>
    </row>
    <row r="117" ht="15.75" customHeight="1">
      <c r="A117" s="2">
        <v>37.7</v>
      </c>
      <c r="B117" s="2">
        <v>19.8</v>
      </c>
      <c r="C117" s="2">
        <v>198.0</v>
      </c>
      <c r="D117" s="2">
        <v>3500.0</v>
      </c>
      <c r="E117" s="2"/>
    </row>
    <row r="118" ht="15.75" customHeight="1">
      <c r="A118" s="2">
        <v>40.2</v>
      </c>
      <c r="B118" s="2">
        <v>17.0</v>
      </c>
      <c r="C118" s="2">
        <v>176.0</v>
      </c>
      <c r="D118" s="2">
        <v>3450.0</v>
      </c>
      <c r="E118" s="2"/>
    </row>
    <row r="119" ht="15.75" customHeight="1">
      <c r="A119" s="2">
        <v>41.4</v>
      </c>
      <c r="B119" s="2">
        <v>18.5</v>
      </c>
      <c r="C119" s="2">
        <v>202.0</v>
      </c>
      <c r="D119" s="2">
        <v>3875.0</v>
      </c>
      <c r="E119" s="2"/>
    </row>
    <row r="120" ht="15.75" customHeight="1">
      <c r="A120" s="2">
        <v>35.2</v>
      </c>
      <c r="B120" s="2">
        <v>15.9</v>
      </c>
      <c r="C120" s="2">
        <v>186.0</v>
      </c>
      <c r="D120" s="2">
        <v>3050.0</v>
      </c>
      <c r="E120" s="2"/>
    </row>
    <row r="121" ht="15.75" customHeight="1">
      <c r="A121" s="2">
        <v>40.6</v>
      </c>
      <c r="B121" s="2">
        <v>19.0</v>
      </c>
      <c r="C121" s="2">
        <v>199.0</v>
      </c>
      <c r="D121" s="2">
        <v>4000.0</v>
      </c>
      <c r="E121" s="2"/>
    </row>
    <row r="122" ht="15.75" customHeight="1">
      <c r="A122" s="2">
        <v>38.8</v>
      </c>
      <c r="B122" s="2">
        <v>17.6</v>
      </c>
      <c r="C122" s="2">
        <v>191.0</v>
      </c>
      <c r="D122" s="2">
        <v>3275.0</v>
      </c>
      <c r="E122" s="2"/>
    </row>
    <row r="123" ht="15.75" customHeight="1">
      <c r="A123" s="2">
        <v>41.5</v>
      </c>
      <c r="B123" s="2">
        <v>18.3</v>
      </c>
      <c r="C123" s="2">
        <v>195.0</v>
      </c>
      <c r="D123" s="2">
        <v>4300.0</v>
      </c>
      <c r="E123" s="2"/>
    </row>
    <row r="124" ht="15.75" customHeight="1">
      <c r="A124" s="2">
        <v>39.0</v>
      </c>
      <c r="B124" s="2">
        <v>17.1</v>
      </c>
      <c r="C124" s="2">
        <v>191.0</v>
      </c>
      <c r="D124" s="2">
        <v>3050.0</v>
      </c>
      <c r="E124" s="2"/>
    </row>
    <row r="125" ht="15.75" customHeight="1">
      <c r="A125" s="2">
        <v>44.1</v>
      </c>
      <c r="B125" s="2">
        <v>18.0</v>
      </c>
      <c r="C125" s="2">
        <v>210.0</v>
      </c>
      <c r="D125" s="2">
        <v>4000.0</v>
      </c>
      <c r="E125" s="2"/>
    </row>
    <row r="126" ht="15.75" customHeight="1">
      <c r="A126" s="2">
        <v>38.5</v>
      </c>
      <c r="B126" s="2">
        <v>17.9</v>
      </c>
      <c r="C126" s="2">
        <v>190.0</v>
      </c>
      <c r="D126" s="2">
        <v>3325.0</v>
      </c>
      <c r="E126" s="2"/>
    </row>
    <row r="127" ht="15.75" customHeight="1">
      <c r="A127" s="2">
        <v>43.1</v>
      </c>
      <c r="B127" s="2">
        <v>19.2</v>
      </c>
      <c r="C127" s="2">
        <v>197.0</v>
      </c>
      <c r="D127" s="2">
        <v>3500.0</v>
      </c>
      <c r="E127" s="2"/>
    </row>
    <row r="128" ht="15.75" customHeight="1">
      <c r="A128" s="2">
        <v>36.8</v>
      </c>
      <c r="B128" s="2">
        <v>18.5</v>
      </c>
      <c r="C128" s="2">
        <v>193.0</v>
      </c>
      <c r="D128" s="2">
        <v>3500.0</v>
      </c>
      <c r="E128" s="2"/>
    </row>
    <row r="129" ht="15.75" customHeight="1">
      <c r="A129" s="2">
        <v>37.5</v>
      </c>
      <c r="B129" s="2">
        <v>18.5</v>
      </c>
      <c r="C129" s="2">
        <v>199.0</v>
      </c>
      <c r="D129" s="2">
        <v>4475.0</v>
      </c>
      <c r="E129" s="2"/>
    </row>
    <row r="130" ht="15.75" customHeight="1">
      <c r="A130" s="2">
        <v>38.1</v>
      </c>
      <c r="B130" s="2">
        <v>17.6</v>
      </c>
      <c r="C130" s="2">
        <v>187.0</v>
      </c>
      <c r="D130" s="2">
        <v>3425.0</v>
      </c>
      <c r="E130" s="2"/>
    </row>
    <row r="131" ht="15.75" customHeight="1">
      <c r="A131" s="2">
        <v>41.1</v>
      </c>
      <c r="B131" s="2">
        <v>17.5</v>
      </c>
      <c r="C131" s="2">
        <v>190.0</v>
      </c>
      <c r="D131" s="2">
        <v>3900.0</v>
      </c>
      <c r="E131" s="2"/>
    </row>
    <row r="132" ht="15.75" customHeight="1">
      <c r="A132" s="2">
        <v>35.6</v>
      </c>
      <c r="B132" s="2">
        <v>17.5</v>
      </c>
      <c r="C132" s="2">
        <v>191.0</v>
      </c>
      <c r="D132" s="2">
        <v>3175.0</v>
      </c>
      <c r="E132" s="2"/>
    </row>
    <row r="133" ht="15.75" customHeight="1">
      <c r="A133" s="2">
        <v>40.2</v>
      </c>
      <c r="B133" s="2">
        <v>20.1</v>
      </c>
      <c r="C133" s="2">
        <v>200.0</v>
      </c>
      <c r="D133" s="2">
        <v>3975.0</v>
      </c>
      <c r="E133" s="2"/>
    </row>
    <row r="134" ht="15.75" customHeight="1">
      <c r="A134" s="2">
        <v>37.0</v>
      </c>
      <c r="B134" s="2">
        <v>16.5</v>
      </c>
      <c r="C134" s="2">
        <v>185.0</v>
      </c>
      <c r="D134" s="2">
        <v>3400.0</v>
      </c>
      <c r="E134" s="2"/>
    </row>
    <row r="135" ht="15.75" customHeight="1">
      <c r="A135" s="2">
        <v>39.7</v>
      </c>
      <c r="B135" s="2">
        <v>17.9</v>
      </c>
      <c r="C135" s="2">
        <v>193.0</v>
      </c>
      <c r="D135" s="2">
        <v>4250.0</v>
      </c>
      <c r="E135" s="2"/>
    </row>
    <row r="136" ht="15.75" customHeight="1">
      <c r="A136" s="2">
        <v>40.2</v>
      </c>
      <c r="B136" s="2">
        <v>17.1</v>
      </c>
      <c r="C136" s="2">
        <v>193.0</v>
      </c>
      <c r="D136" s="2">
        <v>3400.0</v>
      </c>
      <c r="E136" s="2"/>
    </row>
    <row r="137" ht="15.75" customHeight="1">
      <c r="A137" s="2">
        <v>40.6</v>
      </c>
      <c r="B137" s="2">
        <v>17.2</v>
      </c>
      <c r="C137" s="2">
        <v>187.0</v>
      </c>
      <c r="D137" s="2">
        <v>3475.0</v>
      </c>
      <c r="E137" s="2"/>
    </row>
    <row r="138" ht="15.75" customHeight="1">
      <c r="A138" s="2">
        <v>32.1</v>
      </c>
      <c r="B138" s="2">
        <v>15.5</v>
      </c>
      <c r="C138" s="2">
        <v>188.0</v>
      </c>
      <c r="D138" s="2">
        <v>3050.0</v>
      </c>
      <c r="E138" s="2"/>
    </row>
    <row r="139" ht="15.75" customHeight="1">
      <c r="A139" s="2">
        <v>40.7</v>
      </c>
      <c r="B139" s="2">
        <v>17.0</v>
      </c>
      <c r="C139" s="2">
        <v>190.0</v>
      </c>
      <c r="D139" s="2">
        <v>3725.0</v>
      </c>
      <c r="E139" s="2"/>
    </row>
    <row r="140" ht="15.75" customHeight="1">
      <c r="A140" s="2">
        <v>37.3</v>
      </c>
      <c r="B140" s="2">
        <v>16.8</v>
      </c>
      <c r="C140" s="2">
        <v>192.0</v>
      </c>
      <c r="D140" s="2">
        <v>3000.0</v>
      </c>
      <c r="E140" s="2"/>
    </row>
    <row r="141" ht="15.75" customHeight="1">
      <c r="A141" s="2">
        <v>39.0</v>
      </c>
      <c r="B141" s="2">
        <v>18.7</v>
      </c>
      <c r="C141" s="2">
        <v>185.0</v>
      </c>
      <c r="D141" s="2">
        <v>3650.0</v>
      </c>
      <c r="E141" s="2"/>
    </row>
    <row r="142" ht="15.75" customHeight="1">
      <c r="A142" s="2">
        <v>39.2</v>
      </c>
      <c r="B142" s="2">
        <v>18.6</v>
      </c>
      <c r="C142" s="2">
        <v>190.0</v>
      </c>
      <c r="D142" s="2">
        <v>4250.0</v>
      </c>
      <c r="E142" s="2"/>
    </row>
    <row r="143" ht="15.75" customHeight="1">
      <c r="A143" s="2">
        <v>36.6</v>
      </c>
      <c r="B143" s="2">
        <v>18.4</v>
      </c>
      <c r="C143" s="2">
        <v>184.0</v>
      </c>
      <c r="D143" s="2">
        <v>3475.0</v>
      </c>
      <c r="E143" s="2"/>
    </row>
    <row r="144" ht="15.75" customHeight="1">
      <c r="A144" s="2">
        <v>36.0</v>
      </c>
      <c r="B144" s="2">
        <v>17.8</v>
      </c>
      <c r="C144" s="2">
        <v>195.0</v>
      </c>
      <c r="D144" s="2">
        <v>3450.0</v>
      </c>
      <c r="E144" s="2"/>
    </row>
    <row r="145" ht="15.75" customHeight="1">
      <c r="A145" s="2">
        <v>37.8</v>
      </c>
      <c r="B145" s="2">
        <v>18.1</v>
      </c>
      <c r="C145" s="2">
        <v>193.0</v>
      </c>
      <c r="D145" s="2">
        <v>3750.0</v>
      </c>
      <c r="E145" s="2"/>
    </row>
    <row r="146" ht="15.75" customHeight="1">
      <c r="A146" s="2">
        <v>36.0</v>
      </c>
      <c r="B146" s="2">
        <v>17.1</v>
      </c>
      <c r="C146" s="2">
        <v>187.0</v>
      </c>
      <c r="D146" s="2">
        <v>3700.0</v>
      </c>
      <c r="E146" s="2"/>
    </row>
    <row r="147" ht="15.75" customHeight="1">
      <c r="A147" s="2">
        <v>41.5</v>
      </c>
      <c r="B147" s="2">
        <v>18.5</v>
      </c>
      <c r="C147" s="2">
        <v>201.0</v>
      </c>
      <c r="D147" s="2">
        <v>4000.0</v>
      </c>
      <c r="E147" s="2"/>
    </row>
    <row r="148" ht="15.75" customHeight="1">
      <c r="A148" s="2">
        <v>46.5</v>
      </c>
      <c r="B148" s="2">
        <v>17.9</v>
      </c>
      <c r="C148" s="2">
        <v>192.0</v>
      </c>
      <c r="D148" s="2">
        <v>3500.0</v>
      </c>
      <c r="E148" s="2"/>
    </row>
    <row r="149" ht="15.75" customHeight="1">
      <c r="A149" s="2">
        <v>50.0</v>
      </c>
      <c r="B149" s="2">
        <v>19.5</v>
      </c>
      <c r="C149" s="2">
        <v>196.0</v>
      </c>
      <c r="D149" s="2">
        <v>3900.0</v>
      </c>
      <c r="E149" s="2"/>
    </row>
    <row r="150" ht="15.75" customHeight="1">
      <c r="A150" s="2">
        <v>51.3</v>
      </c>
      <c r="B150" s="2">
        <v>19.2</v>
      </c>
      <c r="C150" s="2">
        <v>193.0</v>
      </c>
      <c r="D150" s="2">
        <v>3650.0</v>
      </c>
      <c r="E150" s="2"/>
    </row>
    <row r="151" ht="15.75" customHeight="1">
      <c r="A151" s="2">
        <v>45.4</v>
      </c>
      <c r="B151" s="2">
        <v>18.7</v>
      </c>
      <c r="C151" s="2">
        <v>188.0</v>
      </c>
      <c r="D151" s="2">
        <v>3525.0</v>
      </c>
      <c r="E151" s="2"/>
    </row>
    <row r="152" ht="15.75" customHeight="1">
      <c r="A152" s="2">
        <v>52.7</v>
      </c>
      <c r="B152" s="2">
        <v>19.8</v>
      </c>
      <c r="C152" s="2">
        <v>197.0</v>
      </c>
      <c r="D152" s="2">
        <v>3725.0</v>
      </c>
      <c r="E152" s="2"/>
    </row>
    <row r="153" ht="15.75" customHeight="1">
      <c r="A153" s="2">
        <v>45.2</v>
      </c>
      <c r="B153" s="2">
        <v>17.8</v>
      </c>
      <c r="C153" s="2">
        <v>198.0</v>
      </c>
      <c r="D153" s="2">
        <v>3950.0</v>
      </c>
      <c r="E153" s="2"/>
    </row>
    <row r="154" ht="15.75" customHeight="1">
      <c r="A154" s="2">
        <v>46.1</v>
      </c>
      <c r="B154" s="2">
        <v>18.2</v>
      </c>
      <c r="C154" s="2">
        <v>178.0</v>
      </c>
      <c r="D154" s="2">
        <v>3250.0</v>
      </c>
      <c r="E154" s="2"/>
    </row>
    <row r="155" ht="15.75" customHeight="1">
      <c r="A155" s="2">
        <v>51.3</v>
      </c>
      <c r="B155" s="2">
        <v>18.2</v>
      </c>
      <c r="C155" s="2">
        <v>197.0</v>
      </c>
      <c r="D155" s="2">
        <v>3750.0</v>
      </c>
      <c r="E155" s="2"/>
    </row>
    <row r="156" ht="15.75" customHeight="1">
      <c r="A156" s="2">
        <v>46.0</v>
      </c>
      <c r="B156" s="2">
        <v>18.9</v>
      </c>
      <c r="C156" s="2">
        <v>195.0</v>
      </c>
      <c r="D156" s="2">
        <v>4150.0</v>
      </c>
      <c r="E156" s="2"/>
    </row>
    <row r="157" ht="15.75" customHeight="1">
      <c r="A157" s="2">
        <v>51.3</v>
      </c>
      <c r="B157" s="2">
        <v>19.9</v>
      </c>
      <c r="C157" s="2">
        <v>198.0</v>
      </c>
      <c r="D157" s="2">
        <v>3700.0</v>
      </c>
      <c r="E157" s="2"/>
    </row>
    <row r="158" ht="15.75" customHeight="1">
      <c r="A158" s="2">
        <v>46.6</v>
      </c>
      <c r="B158" s="2">
        <v>17.8</v>
      </c>
      <c r="C158" s="2">
        <v>193.0</v>
      </c>
      <c r="D158" s="2">
        <v>3800.0</v>
      </c>
      <c r="E158" s="2"/>
    </row>
    <row r="159" ht="15.75" customHeight="1">
      <c r="A159" s="2">
        <v>51.7</v>
      </c>
      <c r="B159" s="2">
        <v>20.3</v>
      </c>
      <c r="C159" s="2">
        <v>194.0</v>
      </c>
      <c r="D159" s="2">
        <v>3775.0</v>
      </c>
      <c r="E159" s="2"/>
    </row>
    <row r="160" ht="15.75" customHeight="1">
      <c r="A160" s="2">
        <v>47.0</v>
      </c>
      <c r="B160" s="2">
        <v>17.3</v>
      </c>
      <c r="C160" s="2">
        <v>185.0</v>
      </c>
      <c r="D160" s="2">
        <v>3700.0</v>
      </c>
      <c r="E160" s="2"/>
    </row>
    <row r="161" ht="15.75" customHeight="1">
      <c r="A161" s="2">
        <v>52.0</v>
      </c>
      <c r="B161" s="2">
        <v>18.1</v>
      </c>
      <c r="C161" s="2">
        <v>201.0</v>
      </c>
      <c r="D161" s="2">
        <v>4050.0</v>
      </c>
      <c r="E161" s="2"/>
    </row>
    <row r="162" ht="15.75" customHeight="1">
      <c r="A162" s="2">
        <v>45.9</v>
      </c>
      <c r="B162" s="2">
        <v>17.1</v>
      </c>
      <c r="C162" s="2">
        <v>190.0</v>
      </c>
      <c r="D162" s="2">
        <v>3575.0</v>
      </c>
      <c r="E162" s="2"/>
    </row>
    <row r="163" ht="15.75" customHeight="1">
      <c r="A163" s="2">
        <v>50.5</v>
      </c>
      <c r="B163" s="2">
        <v>19.6</v>
      </c>
      <c r="C163" s="2">
        <v>201.0</v>
      </c>
      <c r="D163" s="2">
        <v>4050.0</v>
      </c>
      <c r="E163" s="2"/>
    </row>
    <row r="164" ht="15.75" customHeight="1">
      <c r="A164" s="2">
        <v>50.3</v>
      </c>
      <c r="B164" s="2">
        <v>20.0</v>
      </c>
      <c r="C164" s="2">
        <v>197.0</v>
      </c>
      <c r="D164" s="2">
        <v>3300.0</v>
      </c>
      <c r="E164" s="2"/>
    </row>
    <row r="165" ht="15.75" customHeight="1">
      <c r="A165" s="2">
        <v>58.0</v>
      </c>
      <c r="B165" s="2">
        <v>17.8</v>
      </c>
      <c r="C165" s="2">
        <v>181.0</v>
      </c>
      <c r="D165" s="2">
        <v>3700.0</v>
      </c>
      <c r="E165" s="2"/>
    </row>
    <row r="166" ht="15.75" customHeight="1">
      <c r="A166" s="2">
        <v>46.4</v>
      </c>
      <c r="B166" s="2">
        <v>18.6</v>
      </c>
      <c r="C166" s="2">
        <v>190.0</v>
      </c>
      <c r="D166" s="2">
        <v>3450.0</v>
      </c>
      <c r="E166" s="2"/>
    </row>
    <row r="167" ht="15.75" customHeight="1">
      <c r="A167" s="2">
        <v>49.2</v>
      </c>
      <c r="B167" s="2">
        <v>18.2</v>
      </c>
      <c r="C167" s="2">
        <v>195.0</v>
      </c>
      <c r="D167" s="2">
        <v>4400.0</v>
      </c>
      <c r="E167" s="2"/>
    </row>
    <row r="168" ht="15.75" customHeight="1">
      <c r="A168" s="2">
        <v>42.4</v>
      </c>
      <c r="B168" s="2">
        <v>17.3</v>
      </c>
      <c r="C168" s="2">
        <v>181.0</v>
      </c>
      <c r="D168" s="2">
        <v>3600.0</v>
      </c>
      <c r="E168" s="2"/>
    </row>
    <row r="169" ht="15.75" customHeight="1">
      <c r="A169" s="2">
        <v>48.5</v>
      </c>
      <c r="B169" s="2">
        <v>17.5</v>
      </c>
      <c r="C169" s="2">
        <v>191.0</v>
      </c>
      <c r="D169" s="2">
        <v>3400.0</v>
      </c>
      <c r="E169" s="2"/>
    </row>
    <row r="170" ht="15.75" customHeight="1">
      <c r="A170" s="2">
        <v>43.2</v>
      </c>
      <c r="B170" s="2">
        <v>16.6</v>
      </c>
      <c r="C170" s="2">
        <v>187.0</v>
      </c>
      <c r="D170" s="2">
        <v>2900.0</v>
      </c>
      <c r="E170" s="2"/>
    </row>
    <row r="171" ht="15.75" customHeight="1">
      <c r="A171" s="2">
        <v>50.6</v>
      </c>
      <c r="B171" s="2">
        <v>19.4</v>
      </c>
      <c r="C171" s="2">
        <v>193.0</v>
      </c>
      <c r="D171" s="2">
        <v>3800.0</v>
      </c>
      <c r="E171" s="2"/>
    </row>
    <row r="172" ht="15.75" customHeight="1">
      <c r="A172" s="2">
        <v>46.7</v>
      </c>
      <c r="B172" s="2">
        <v>17.9</v>
      </c>
      <c r="C172" s="2">
        <v>195.0</v>
      </c>
      <c r="D172" s="2">
        <v>3300.0</v>
      </c>
      <c r="E172" s="2"/>
    </row>
    <row r="173" ht="15.75" customHeight="1">
      <c r="A173" s="2">
        <v>52.0</v>
      </c>
      <c r="B173" s="2">
        <v>19.0</v>
      </c>
      <c r="C173" s="2">
        <v>197.0</v>
      </c>
      <c r="D173" s="2">
        <v>4150.0</v>
      </c>
      <c r="E173" s="2"/>
    </row>
    <row r="174" ht="15.75" customHeight="1">
      <c r="A174" s="2">
        <v>50.5</v>
      </c>
      <c r="B174" s="2">
        <v>18.4</v>
      </c>
      <c r="C174" s="2">
        <v>200.0</v>
      </c>
      <c r="D174" s="2">
        <v>3400.0</v>
      </c>
      <c r="E174" s="2"/>
    </row>
    <row r="175" ht="15.75" customHeight="1">
      <c r="A175" s="2">
        <v>49.5</v>
      </c>
      <c r="B175" s="2">
        <v>19.0</v>
      </c>
      <c r="C175" s="2">
        <v>200.0</v>
      </c>
      <c r="D175" s="2">
        <v>3800.0</v>
      </c>
      <c r="E175" s="2"/>
    </row>
    <row r="176" ht="15.75" customHeight="1">
      <c r="A176" s="2">
        <v>46.4</v>
      </c>
      <c r="B176" s="2">
        <v>17.8</v>
      </c>
      <c r="C176" s="2">
        <v>191.0</v>
      </c>
      <c r="D176" s="2">
        <v>3700.0</v>
      </c>
      <c r="E176" s="2"/>
    </row>
    <row r="177" ht="15.75" customHeight="1">
      <c r="A177" s="2">
        <v>52.8</v>
      </c>
      <c r="B177" s="2">
        <v>20.0</v>
      </c>
      <c r="C177" s="2">
        <v>205.0</v>
      </c>
      <c r="D177" s="2">
        <v>4550.0</v>
      </c>
      <c r="E177" s="2"/>
    </row>
    <row r="178" ht="15.75" customHeight="1">
      <c r="A178" s="2">
        <v>40.9</v>
      </c>
      <c r="B178" s="2">
        <v>16.6</v>
      </c>
      <c r="C178" s="2">
        <v>187.0</v>
      </c>
      <c r="D178" s="2">
        <v>3200.0</v>
      </c>
      <c r="E178" s="2"/>
    </row>
    <row r="179" ht="15.75" customHeight="1">
      <c r="A179" s="2">
        <v>54.2</v>
      </c>
      <c r="B179" s="2">
        <v>20.8</v>
      </c>
      <c r="C179" s="2">
        <v>201.0</v>
      </c>
      <c r="D179" s="2">
        <v>4300.0</v>
      </c>
      <c r="E179" s="2"/>
    </row>
    <row r="180" ht="15.75" customHeight="1">
      <c r="A180" s="2">
        <v>42.5</v>
      </c>
      <c r="B180" s="2">
        <v>16.7</v>
      </c>
      <c r="C180" s="2">
        <v>187.0</v>
      </c>
      <c r="D180" s="2">
        <v>3350.0</v>
      </c>
      <c r="E180" s="2"/>
    </row>
    <row r="181" ht="15.75" customHeight="1">
      <c r="A181" s="2">
        <v>51.0</v>
      </c>
      <c r="B181" s="2">
        <v>18.8</v>
      </c>
      <c r="C181" s="2">
        <v>203.0</v>
      </c>
      <c r="D181" s="2">
        <v>4100.0</v>
      </c>
      <c r="E181" s="2"/>
    </row>
    <row r="182" ht="15.75" customHeight="1">
      <c r="A182" s="2">
        <v>49.7</v>
      </c>
      <c r="B182" s="2">
        <v>18.6</v>
      </c>
      <c r="C182" s="2">
        <v>195.0</v>
      </c>
      <c r="D182" s="2">
        <v>3600.0</v>
      </c>
      <c r="E182" s="2"/>
    </row>
    <row r="183" ht="15.75" customHeight="1">
      <c r="A183" s="2">
        <v>47.5</v>
      </c>
      <c r="B183" s="2">
        <v>16.8</v>
      </c>
      <c r="C183" s="2">
        <v>199.0</v>
      </c>
      <c r="D183" s="2">
        <v>3900.0</v>
      </c>
      <c r="E183" s="2"/>
    </row>
    <row r="184" ht="15.75" customHeight="1">
      <c r="A184" s="2">
        <v>47.6</v>
      </c>
      <c r="B184" s="2">
        <v>18.3</v>
      </c>
      <c r="C184" s="2">
        <v>195.0</v>
      </c>
      <c r="D184" s="2">
        <v>3850.0</v>
      </c>
      <c r="E184" s="2"/>
    </row>
    <row r="185" ht="15.75" customHeight="1">
      <c r="A185" s="2">
        <v>52.0</v>
      </c>
      <c r="B185" s="2">
        <v>20.7</v>
      </c>
      <c r="C185" s="2">
        <v>210.0</v>
      </c>
      <c r="D185" s="2">
        <v>4800.0</v>
      </c>
      <c r="E185" s="2"/>
    </row>
    <row r="186" ht="15.75" customHeight="1">
      <c r="A186" s="2">
        <v>46.9</v>
      </c>
      <c r="B186" s="2">
        <v>16.6</v>
      </c>
      <c r="C186" s="2">
        <v>192.0</v>
      </c>
      <c r="D186" s="2">
        <v>2700.0</v>
      </c>
      <c r="E186" s="2"/>
    </row>
    <row r="187" ht="15.75" customHeight="1">
      <c r="A187" s="2">
        <v>53.5</v>
      </c>
      <c r="B187" s="2">
        <v>19.9</v>
      </c>
      <c r="C187" s="2">
        <v>205.0</v>
      </c>
      <c r="D187" s="2">
        <v>4500.0</v>
      </c>
      <c r="E187" s="2"/>
    </row>
    <row r="188" ht="15.75" customHeight="1">
      <c r="A188" s="2">
        <v>49.0</v>
      </c>
      <c r="B188" s="2">
        <v>19.5</v>
      </c>
      <c r="C188" s="2">
        <v>210.0</v>
      </c>
      <c r="D188" s="2">
        <v>3950.0</v>
      </c>
      <c r="E188" s="2"/>
    </row>
    <row r="189" ht="15.75" customHeight="1">
      <c r="A189" s="2">
        <v>46.2</v>
      </c>
      <c r="B189" s="2">
        <v>17.5</v>
      </c>
      <c r="C189" s="2">
        <v>187.0</v>
      </c>
      <c r="D189" s="2">
        <v>3650.0</v>
      </c>
      <c r="E189" s="2"/>
    </row>
    <row r="190" ht="15.75" customHeight="1">
      <c r="A190" s="2">
        <v>50.9</v>
      </c>
      <c r="B190" s="2">
        <v>19.1</v>
      </c>
      <c r="C190" s="2">
        <v>196.0</v>
      </c>
      <c r="D190" s="2">
        <v>3550.0</v>
      </c>
      <c r="E190" s="2"/>
    </row>
    <row r="191" ht="15.75" customHeight="1">
      <c r="A191" s="2">
        <v>45.5</v>
      </c>
      <c r="B191" s="2">
        <v>17.0</v>
      </c>
      <c r="C191" s="2">
        <v>196.0</v>
      </c>
      <c r="D191" s="2">
        <v>3500.0</v>
      </c>
      <c r="E191" s="2"/>
    </row>
    <row r="192" ht="15.75" customHeight="1">
      <c r="A192" s="2">
        <v>50.9</v>
      </c>
      <c r="B192" s="2">
        <v>17.9</v>
      </c>
      <c r="C192" s="2">
        <v>196.0</v>
      </c>
      <c r="D192" s="2">
        <v>3675.0</v>
      </c>
      <c r="E192" s="2"/>
    </row>
    <row r="193" ht="15.75" customHeight="1">
      <c r="A193" s="2">
        <v>50.8</v>
      </c>
      <c r="B193" s="2">
        <v>18.5</v>
      </c>
      <c r="C193" s="2">
        <v>201.0</v>
      </c>
      <c r="D193" s="2">
        <v>4450.0</v>
      </c>
      <c r="E193" s="2"/>
    </row>
    <row r="194" ht="15.75" customHeight="1">
      <c r="A194" s="2">
        <v>50.1</v>
      </c>
      <c r="B194" s="2">
        <v>17.9</v>
      </c>
      <c r="C194" s="2">
        <v>190.0</v>
      </c>
      <c r="D194" s="2">
        <v>3400.0</v>
      </c>
      <c r="E194" s="2"/>
    </row>
    <row r="195" ht="15.75" customHeight="1">
      <c r="A195" s="2">
        <v>49.0</v>
      </c>
      <c r="B195" s="2">
        <v>19.6</v>
      </c>
      <c r="C195" s="2">
        <v>212.0</v>
      </c>
      <c r="D195" s="2">
        <v>4300.0</v>
      </c>
      <c r="E195" s="2"/>
    </row>
    <row r="196" ht="15.75" customHeight="1">
      <c r="A196" s="2">
        <v>51.5</v>
      </c>
      <c r="B196" s="2">
        <v>18.7</v>
      </c>
      <c r="C196" s="2">
        <v>187.0</v>
      </c>
      <c r="D196" s="2">
        <v>3250.0</v>
      </c>
      <c r="E196" s="2"/>
    </row>
    <row r="197" ht="15.75" customHeight="1">
      <c r="A197" s="2">
        <v>49.8</v>
      </c>
      <c r="B197" s="2">
        <v>17.3</v>
      </c>
      <c r="C197" s="2">
        <v>198.0</v>
      </c>
      <c r="D197" s="2">
        <v>3675.0</v>
      </c>
      <c r="E197" s="2"/>
    </row>
    <row r="198" ht="15.75" customHeight="1">
      <c r="A198" s="2">
        <v>48.1</v>
      </c>
      <c r="B198" s="2">
        <v>16.4</v>
      </c>
      <c r="C198" s="2">
        <v>199.0</v>
      </c>
      <c r="D198" s="2">
        <v>3325.0</v>
      </c>
      <c r="E198" s="2"/>
    </row>
    <row r="199" ht="15.75" customHeight="1">
      <c r="A199" s="2">
        <v>51.4</v>
      </c>
      <c r="B199" s="2">
        <v>19.0</v>
      </c>
      <c r="C199" s="2">
        <v>201.0</v>
      </c>
      <c r="D199" s="2">
        <v>3950.0</v>
      </c>
      <c r="E199" s="2"/>
    </row>
    <row r="200" ht="15.75" customHeight="1">
      <c r="A200" s="2">
        <v>45.7</v>
      </c>
      <c r="B200" s="2">
        <v>17.3</v>
      </c>
      <c r="C200" s="2">
        <v>193.0</v>
      </c>
      <c r="D200" s="2">
        <v>3600.0</v>
      </c>
      <c r="E200" s="2"/>
    </row>
    <row r="201" ht="15.75" customHeight="1">
      <c r="A201" s="2">
        <v>50.7</v>
      </c>
      <c r="B201" s="2">
        <v>19.7</v>
      </c>
      <c r="C201" s="2">
        <v>203.0</v>
      </c>
      <c r="D201" s="2">
        <v>4050.0</v>
      </c>
      <c r="E201" s="2"/>
    </row>
    <row r="202" ht="15.75" customHeight="1">
      <c r="A202" s="2">
        <v>42.5</v>
      </c>
      <c r="B202" s="2">
        <v>17.3</v>
      </c>
      <c r="C202" s="2">
        <v>187.0</v>
      </c>
      <c r="D202" s="2">
        <v>3350.0</v>
      </c>
      <c r="E202" s="2"/>
    </row>
    <row r="203" ht="15.75" customHeight="1">
      <c r="A203" s="2">
        <v>52.2</v>
      </c>
      <c r="B203" s="2">
        <v>18.8</v>
      </c>
      <c r="C203" s="2">
        <v>197.0</v>
      </c>
      <c r="D203" s="2">
        <v>3450.0</v>
      </c>
      <c r="E203" s="2"/>
    </row>
    <row r="204" ht="15.75" customHeight="1">
      <c r="A204" s="2">
        <v>45.2</v>
      </c>
      <c r="B204" s="2">
        <v>16.6</v>
      </c>
      <c r="C204" s="2">
        <v>191.0</v>
      </c>
      <c r="D204" s="2">
        <v>3250.0</v>
      </c>
      <c r="E204" s="2"/>
    </row>
    <row r="205" ht="15.75" customHeight="1">
      <c r="A205" s="2">
        <v>49.3</v>
      </c>
      <c r="B205" s="2">
        <v>19.9</v>
      </c>
      <c r="C205" s="2">
        <v>203.0</v>
      </c>
      <c r="D205" s="2">
        <v>4050.0</v>
      </c>
      <c r="E205" s="2"/>
    </row>
    <row r="206" ht="15.75" customHeight="1">
      <c r="A206" s="2">
        <v>50.2</v>
      </c>
      <c r="B206" s="2">
        <v>18.8</v>
      </c>
      <c r="C206" s="2">
        <v>202.0</v>
      </c>
      <c r="D206" s="2">
        <v>3800.0</v>
      </c>
      <c r="E206" s="2"/>
    </row>
    <row r="207" ht="15.75" customHeight="1">
      <c r="A207" s="2">
        <v>45.6</v>
      </c>
      <c r="B207" s="2">
        <v>19.4</v>
      </c>
      <c r="C207" s="2">
        <v>194.0</v>
      </c>
      <c r="D207" s="2">
        <v>3525.0</v>
      </c>
      <c r="E207" s="2"/>
    </row>
    <row r="208" ht="15.75" customHeight="1">
      <c r="A208" s="2">
        <v>51.9</v>
      </c>
      <c r="B208" s="2">
        <v>19.5</v>
      </c>
      <c r="C208" s="2">
        <v>206.0</v>
      </c>
      <c r="D208" s="2">
        <v>3950.0</v>
      </c>
      <c r="E208" s="2"/>
    </row>
    <row r="209" ht="15.75" customHeight="1">
      <c r="A209" s="2">
        <v>46.8</v>
      </c>
      <c r="B209" s="2">
        <v>16.5</v>
      </c>
      <c r="C209" s="2">
        <v>189.0</v>
      </c>
      <c r="D209" s="2">
        <v>3650.0</v>
      </c>
      <c r="E209" s="2"/>
    </row>
    <row r="210" ht="15.75" customHeight="1">
      <c r="A210" s="2">
        <v>45.7</v>
      </c>
      <c r="B210" s="2">
        <v>17.0</v>
      </c>
      <c r="C210" s="2">
        <v>195.0</v>
      </c>
      <c r="D210" s="2">
        <v>3650.0</v>
      </c>
      <c r="E210" s="2"/>
    </row>
    <row r="211" ht="15.75" customHeight="1">
      <c r="A211" s="2">
        <v>55.8</v>
      </c>
      <c r="B211" s="2">
        <v>19.8</v>
      </c>
      <c r="C211" s="2">
        <v>207.0</v>
      </c>
      <c r="D211" s="2">
        <v>4000.0</v>
      </c>
      <c r="E211" s="2"/>
    </row>
    <row r="212" ht="15.75" customHeight="1">
      <c r="A212" s="2">
        <v>43.5</v>
      </c>
      <c r="B212" s="2">
        <v>18.1</v>
      </c>
      <c r="C212" s="2">
        <v>202.0</v>
      </c>
      <c r="D212" s="2">
        <v>3400.0</v>
      </c>
      <c r="E212" s="2"/>
    </row>
    <row r="213" ht="15.75" customHeight="1">
      <c r="A213" s="2">
        <v>49.6</v>
      </c>
      <c r="B213" s="2">
        <v>18.2</v>
      </c>
      <c r="C213" s="2">
        <v>193.0</v>
      </c>
      <c r="D213" s="2">
        <v>3775.0</v>
      </c>
      <c r="E213" s="2"/>
    </row>
    <row r="214" ht="15.75" customHeight="1">
      <c r="A214" s="2">
        <v>50.8</v>
      </c>
      <c r="B214" s="2">
        <v>19.0</v>
      </c>
      <c r="C214" s="2">
        <v>210.0</v>
      </c>
      <c r="D214" s="2">
        <v>4100.0</v>
      </c>
      <c r="E214" s="2"/>
    </row>
    <row r="215" ht="15.75" customHeight="1">
      <c r="A215" s="2">
        <v>50.2</v>
      </c>
      <c r="B215" s="2">
        <v>18.7</v>
      </c>
      <c r="C215" s="2">
        <v>198.0</v>
      </c>
      <c r="D215" s="2">
        <v>3775.0</v>
      </c>
      <c r="E215" s="2"/>
    </row>
    <row r="216" ht="15.75" customHeight="1">
      <c r="A216" s="2">
        <v>46.1</v>
      </c>
      <c r="B216" s="2">
        <v>13.2</v>
      </c>
      <c r="C216" s="2">
        <v>211.0</v>
      </c>
      <c r="D216" s="2">
        <v>4500.0</v>
      </c>
      <c r="E216" s="2"/>
    </row>
    <row r="217" ht="15.75" customHeight="1">
      <c r="A217" s="2">
        <v>50.0</v>
      </c>
      <c r="B217" s="2">
        <v>16.3</v>
      </c>
      <c r="C217" s="2">
        <v>230.0</v>
      </c>
      <c r="D217" s="2">
        <v>5700.0</v>
      </c>
      <c r="E217" s="2"/>
    </row>
    <row r="218" ht="15.75" customHeight="1">
      <c r="A218" s="2">
        <v>48.7</v>
      </c>
      <c r="B218" s="2">
        <v>14.1</v>
      </c>
      <c r="C218" s="2">
        <v>210.0</v>
      </c>
      <c r="D218" s="2">
        <v>4450.0</v>
      </c>
      <c r="E218" s="2"/>
    </row>
    <row r="219" ht="15.75" customHeight="1">
      <c r="A219" s="2">
        <v>50.0</v>
      </c>
      <c r="B219" s="2">
        <v>15.2</v>
      </c>
      <c r="C219" s="2">
        <v>218.0</v>
      </c>
      <c r="D219" s="2">
        <v>5700.0</v>
      </c>
      <c r="E219" s="2"/>
    </row>
    <row r="220" ht="15.75" customHeight="1">
      <c r="A220" s="2">
        <v>47.6</v>
      </c>
      <c r="B220" s="2">
        <v>14.5</v>
      </c>
      <c r="C220" s="2">
        <v>215.0</v>
      </c>
      <c r="D220" s="2">
        <v>5400.0</v>
      </c>
      <c r="E220" s="2"/>
    </row>
    <row r="221" ht="15.75" customHeight="1">
      <c r="A221" s="2">
        <v>46.5</v>
      </c>
      <c r="B221" s="2">
        <v>13.5</v>
      </c>
      <c r="C221" s="2">
        <v>210.0</v>
      </c>
      <c r="D221" s="2">
        <v>4550.0</v>
      </c>
      <c r="E221" s="2"/>
    </row>
    <row r="222" ht="15.75" customHeight="1">
      <c r="A222" s="2">
        <v>45.4</v>
      </c>
      <c r="B222" s="2">
        <v>14.6</v>
      </c>
      <c r="C222" s="2">
        <v>211.0</v>
      </c>
      <c r="D222" s="2">
        <v>4800.0</v>
      </c>
      <c r="E222" s="2"/>
    </row>
    <row r="223" ht="15.75" customHeight="1">
      <c r="A223" s="2">
        <v>46.7</v>
      </c>
      <c r="B223" s="2">
        <v>15.3</v>
      </c>
      <c r="C223" s="2">
        <v>219.0</v>
      </c>
      <c r="D223" s="2">
        <v>5200.0</v>
      </c>
      <c r="E223" s="2"/>
    </row>
    <row r="224" ht="15.75" customHeight="1">
      <c r="A224" s="2">
        <v>43.3</v>
      </c>
      <c r="B224" s="2">
        <v>13.4</v>
      </c>
      <c r="C224" s="2">
        <v>209.0</v>
      </c>
      <c r="D224" s="2">
        <v>4400.0</v>
      </c>
      <c r="E224" s="2"/>
    </row>
    <row r="225" ht="15.75" customHeight="1">
      <c r="A225" s="2">
        <v>46.8</v>
      </c>
      <c r="B225" s="2">
        <v>15.4</v>
      </c>
      <c r="C225" s="2">
        <v>215.0</v>
      </c>
      <c r="D225" s="2">
        <v>5150.0</v>
      </c>
      <c r="E225" s="2"/>
    </row>
    <row r="226" ht="15.75" customHeight="1">
      <c r="A226" s="2">
        <v>40.9</v>
      </c>
      <c r="B226" s="2">
        <v>13.7</v>
      </c>
      <c r="C226" s="2">
        <v>214.0</v>
      </c>
      <c r="D226" s="2">
        <v>4650.0</v>
      </c>
      <c r="E226" s="2"/>
    </row>
    <row r="227" ht="15.75" customHeight="1">
      <c r="A227" s="2">
        <v>49.0</v>
      </c>
      <c r="B227" s="2">
        <v>16.1</v>
      </c>
      <c r="C227" s="2">
        <v>216.0</v>
      </c>
      <c r="D227" s="2">
        <v>5550.0</v>
      </c>
      <c r="E227" s="2"/>
    </row>
    <row r="228" ht="15.75" customHeight="1">
      <c r="A228" s="2">
        <v>45.5</v>
      </c>
      <c r="B228" s="2">
        <v>13.7</v>
      </c>
      <c r="C228" s="2">
        <v>214.0</v>
      </c>
      <c r="D228" s="2">
        <v>4650.0</v>
      </c>
      <c r="E228" s="2"/>
    </row>
    <row r="229" ht="15.75" customHeight="1">
      <c r="A229" s="2">
        <v>48.4</v>
      </c>
      <c r="B229" s="2">
        <v>14.6</v>
      </c>
      <c r="C229" s="2">
        <v>213.0</v>
      </c>
      <c r="D229" s="2">
        <v>5850.0</v>
      </c>
      <c r="E229" s="2"/>
    </row>
    <row r="230" ht="15.75" customHeight="1">
      <c r="A230" s="2">
        <v>45.8</v>
      </c>
      <c r="B230" s="2">
        <v>14.6</v>
      </c>
      <c r="C230" s="2">
        <v>210.0</v>
      </c>
      <c r="D230" s="2">
        <v>4200.0</v>
      </c>
      <c r="E230" s="2"/>
    </row>
    <row r="231" ht="15.75" customHeight="1">
      <c r="A231" s="2">
        <v>49.3</v>
      </c>
      <c r="B231" s="2">
        <v>15.7</v>
      </c>
      <c r="C231" s="2">
        <v>217.0</v>
      </c>
      <c r="D231" s="2">
        <v>5850.0</v>
      </c>
      <c r="E231" s="2"/>
    </row>
    <row r="232" ht="15.75" customHeight="1">
      <c r="A232" s="2">
        <v>42.0</v>
      </c>
      <c r="B232" s="2">
        <v>13.5</v>
      </c>
      <c r="C232" s="2">
        <v>210.0</v>
      </c>
      <c r="D232" s="2">
        <v>4150.0</v>
      </c>
      <c r="E232" s="2"/>
    </row>
    <row r="233" ht="15.75" customHeight="1">
      <c r="A233" s="2">
        <v>49.2</v>
      </c>
      <c r="B233" s="2">
        <v>15.2</v>
      </c>
      <c r="C233" s="2">
        <v>221.0</v>
      </c>
      <c r="D233" s="2">
        <v>6300.0</v>
      </c>
      <c r="E233" s="2"/>
    </row>
    <row r="234" ht="15.75" customHeight="1">
      <c r="A234" s="2">
        <v>46.2</v>
      </c>
      <c r="B234" s="2">
        <v>14.5</v>
      </c>
      <c r="C234" s="2">
        <v>209.0</v>
      </c>
      <c r="D234" s="2">
        <v>4800.0</v>
      </c>
      <c r="E234" s="2"/>
    </row>
    <row r="235" ht="15.75" customHeight="1">
      <c r="A235" s="2">
        <v>48.7</v>
      </c>
      <c r="B235" s="2">
        <v>15.1</v>
      </c>
      <c r="C235" s="2">
        <v>222.0</v>
      </c>
      <c r="D235" s="2">
        <v>5350.0</v>
      </c>
      <c r="E235" s="2"/>
    </row>
    <row r="236" ht="15.75" customHeight="1">
      <c r="A236" s="2">
        <v>50.2</v>
      </c>
      <c r="B236" s="2">
        <v>14.3</v>
      </c>
      <c r="C236" s="2">
        <v>218.0</v>
      </c>
      <c r="D236" s="2">
        <v>5700.0</v>
      </c>
      <c r="E236" s="2"/>
    </row>
    <row r="237" ht="15.75" customHeight="1">
      <c r="A237" s="2">
        <v>45.1</v>
      </c>
      <c r="B237" s="2">
        <v>14.5</v>
      </c>
      <c r="C237" s="2">
        <v>215.0</v>
      </c>
      <c r="D237" s="2">
        <v>5000.0</v>
      </c>
      <c r="E237" s="2"/>
    </row>
    <row r="238" ht="15.75" customHeight="1">
      <c r="A238" s="2">
        <v>46.5</v>
      </c>
      <c r="B238" s="2">
        <v>14.5</v>
      </c>
      <c r="C238" s="2">
        <v>213.0</v>
      </c>
      <c r="D238" s="2">
        <v>4400.0</v>
      </c>
      <c r="E238" s="2"/>
    </row>
    <row r="239" ht="15.75" customHeight="1">
      <c r="A239" s="2">
        <v>46.3</v>
      </c>
      <c r="B239" s="2">
        <v>15.8</v>
      </c>
      <c r="C239" s="2">
        <v>215.0</v>
      </c>
      <c r="D239" s="2">
        <v>5050.0</v>
      </c>
      <c r="E239" s="2"/>
    </row>
    <row r="240" ht="15.75" customHeight="1">
      <c r="A240" s="2">
        <v>42.9</v>
      </c>
      <c r="B240" s="2">
        <v>13.1</v>
      </c>
      <c r="C240" s="2">
        <v>215.0</v>
      </c>
      <c r="D240" s="2">
        <v>5000.0</v>
      </c>
      <c r="E240" s="2"/>
    </row>
    <row r="241" ht="15.75" customHeight="1">
      <c r="A241" s="2">
        <v>46.1</v>
      </c>
      <c r="B241" s="2">
        <v>15.1</v>
      </c>
      <c r="C241" s="2">
        <v>215.0</v>
      </c>
      <c r="D241" s="2">
        <v>5100.0</v>
      </c>
      <c r="E241" s="2"/>
    </row>
    <row r="242" ht="15.75" customHeight="1">
      <c r="A242" s="2">
        <v>47.8</v>
      </c>
      <c r="B242" s="2">
        <v>15.0</v>
      </c>
      <c r="C242" s="2">
        <v>215.0</v>
      </c>
      <c r="D242" s="2">
        <v>5650.0</v>
      </c>
      <c r="E242" s="2"/>
    </row>
    <row r="243" ht="15.75" customHeight="1">
      <c r="A243" s="2">
        <v>48.2</v>
      </c>
      <c r="B243" s="2">
        <v>14.3</v>
      </c>
      <c r="C243" s="2">
        <v>210.0</v>
      </c>
      <c r="D243" s="2">
        <v>4600.0</v>
      </c>
      <c r="E243" s="2"/>
    </row>
    <row r="244" ht="15.75" customHeight="1">
      <c r="A244" s="2">
        <v>50.0</v>
      </c>
      <c r="B244" s="2">
        <v>15.3</v>
      </c>
      <c r="C244" s="2">
        <v>220.0</v>
      </c>
      <c r="D244" s="2">
        <v>5550.0</v>
      </c>
      <c r="E244" s="2"/>
    </row>
    <row r="245" ht="15.75" customHeight="1">
      <c r="A245" s="2">
        <v>47.3</v>
      </c>
      <c r="B245" s="2">
        <v>15.3</v>
      </c>
      <c r="C245" s="2">
        <v>222.0</v>
      </c>
      <c r="D245" s="2">
        <v>5250.0</v>
      </c>
      <c r="E245" s="2"/>
    </row>
    <row r="246" ht="15.75" customHeight="1">
      <c r="A246" s="2">
        <v>42.8</v>
      </c>
      <c r="B246" s="2">
        <v>14.2</v>
      </c>
      <c r="C246" s="2">
        <v>209.0</v>
      </c>
      <c r="D246" s="2">
        <v>4700.0</v>
      </c>
      <c r="E246" s="2"/>
    </row>
    <row r="247" ht="15.75" customHeight="1">
      <c r="A247" s="2">
        <v>45.1</v>
      </c>
      <c r="B247" s="2">
        <v>14.5</v>
      </c>
      <c r="C247" s="2">
        <v>207.0</v>
      </c>
      <c r="D247" s="2">
        <v>5050.0</v>
      </c>
      <c r="E247" s="2"/>
    </row>
    <row r="248" ht="15.75" customHeight="1">
      <c r="A248" s="2">
        <v>59.6</v>
      </c>
      <c r="B248" s="2">
        <v>17.0</v>
      </c>
      <c r="C248" s="2">
        <v>230.0</v>
      </c>
      <c r="D248" s="2">
        <v>6050.0</v>
      </c>
      <c r="E248" s="2"/>
    </row>
    <row r="249" ht="15.75" customHeight="1">
      <c r="A249" s="2">
        <v>49.1</v>
      </c>
      <c r="B249" s="2">
        <v>14.8</v>
      </c>
      <c r="C249" s="2">
        <v>220.0</v>
      </c>
      <c r="D249" s="2">
        <v>5150.0</v>
      </c>
      <c r="E249" s="2"/>
    </row>
    <row r="250" ht="15.75" customHeight="1">
      <c r="A250" s="2">
        <v>48.4</v>
      </c>
      <c r="B250" s="2">
        <v>16.3</v>
      </c>
      <c r="C250" s="2">
        <v>220.0</v>
      </c>
      <c r="D250" s="2">
        <v>5400.0</v>
      </c>
      <c r="E250" s="2"/>
    </row>
    <row r="251" ht="15.75" customHeight="1">
      <c r="A251" s="2">
        <v>42.6</v>
      </c>
      <c r="B251" s="2">
        <v>13.7</v>
      </c>
      <c r="C251" s="2">
        <v>213.0</v>
      </c>
      <c r="D251" s="2">
        <v>4950.0</v>
      </c>
      <c r="E251" s="2"/>
    </row>
    <row r="252" ht="15.75" customHeight="1">
      <c r="A252" s="2">
        <v>44.4</v>
      </c>
      <c r="B252" s="2">
        <v>17.3</v>
      </c>
      <c r="C252" s="2">
        <v>219.0</v>
      </c>
      <c r="D252" s="2">
        <v>5250.0</v>
      </c>
      <c r="E252" s="2"/>
    </row>
    <row r="253" ht="15.75" customHeight="1">
      <c r="A253" s="2">
        <v>44.0</v>
      </c>
      <c r="B253" s="2">
        <v>13.6</v>
      </c>
      <c r="C253" s="2">
        <v>208.0</v>
      </c>
      <c r="D253" s="2">
        <v>4350.0</v>
      </c>
      <c r="E253" s="2"/>
    </row>
    <row r="254" ht="15.75" customHeight="1">
      <c r="A254" s="2">
        <v>48.7</v>
      </c>
      <c r="B254" s="2">
        <v>15.7</v>
      </c>
      <c r="C254" s="2">
        <v>208.0</v>
      </c>
      <c r="D254" s="2">
        <v>5350.0</v>
      </c>
      <c r="E254" s="2"/>
    </row>
    <row r="255" ht="15.75" customHeight="1">
      <c r="A255" s="2">
        <v>42.7</v>
      </c>
      <c r="B255" s="2">
        <v>13.7</v>
      </c>
      <c r="C255" s="2">
        <v>208.0</v>
      </c>
      <c r="D255" s="2">
        <v>3950.0</v>
      </c>
      <c r="E255" s="2"/>
    </row>
    <row r="256" ht="15.75" customHeight="1">
      <c r="A256" s="2">
        <v>49.6</v>
      </c>
      <c r="B256" s="2">
        <v>16.0</v>
      </c>
      <c r="C256" s="2">
        <v>225.0</v>
      </c>
      <c r="D256" s="2">
        <v>5700.0</v>
      </c>
      <c r="E256" s="2"/>
    </row>
    <row r="257" ht="15.75" customHeight="1">
      <c r="A257" s="2">
        <v>45.3</v>
      </c>
      <c r="B257" s="2">
        <v>13.7</v>
      </c>
      <c r="C257" s="2">
        <v>210.0</v>
      </c>
      <c r="D257" s="2">
        <v>4300.0</v>
      </c>
      <c r="E257" s="2"/>
    </row>
    <row r="258" ht="15.75" customHeight="1">
      <c r="A258" s="2">
        <v>49.6</v>
      </c>
      <c r="B258" s="2">
        <v>15.0</v>
      </c>
      <c r="C258" s="2">
        <v>216.0</v>
      </c>
      <c r="D258" s="2">
        <v>4750.0</v>
      </c>
      <c r="E258" s="2"/>
    </row>
    <row r="259" ht="15.75" customHeight="1">
      <c r="A259" s="2">
        <v>50.5</v>
      </c>
      <c r="B259" s="2">
        <v>15.9</v>
      </c>
      <c r="C259" s="2">
        <v>222.0</v>
      </c>
      <c r="D259" s="2">
        <v>5550.0</v>
      </c>
      <c r="E259" s="2"/>
    </row>
    <row r="260" ht="15.75" customHeight="1">
      <c r="A260" s="2">
        <v>43.6</v>
      </c>
      <c r="B260" s="2">
        <v>13.9</v>
      </c>
      <c r="C260" s="2">
        <v>217.0</v>
      </c>
      <c r="D260" s="2">
        <v>4900.0</v>
      </c>
      <c r="E260" s="2"/>
    </row>
    <row r="261" ht="15.75" customHeight="1">
      <c r="A261" s="2">
        <v>45.5</v>
      </c>
      <c r="B261" s="2">
        <v>13.9</v>
      </c>
      <c r="C261" s="2">
        <v>210.0</v>
      </c>
      <c r="D261" s="2">
        <v>4200.0</v>
      </c>
      <c r="E261" s="2"/>
    </row>
    <row r="262" ht="15.75" customHeight="1">
      <c r="A262" s="2">
        <v>50.5</v>
      </c>
      <c r="B262" s="2">
        <v>15.9</v>
      </c>
      <c r="C262" s="2">
        <v>225.0</v>
      </c>
      <c r="D262" s="2">
        <v>5400.0</v>
      </c>
      <c r="E262" s="2"/>
    </row>
    <row r="263" ht="15.75" customHeight="1">
      <c r="A263" s="2">
        <v>44.9</v>
      </c>
      <c r="B263" s="2">
        <v>13.3</v>
      </c>
      <c r="C263" s="2">
        <v>213.0</v>
      </c>
      <c r="D263" s="2">
        <v>5100.0</v>
      </c>
      <c r="E263" s="2"/>
    </row>
    <row r="264" ht="15.75" customHeight="1">
      <c r="A264" s="2">
        <v>45.2</v>
      </c>
      <c r="B264" s="2">
        <v>15.8</v>
      </c>
      <c r="C264" s="2">
        <v>215.0</v>
      </c>
      <c r="D264" s="2">
        <v>5300.0</v>
      </c>
      <c r="E264" s="2"/>
    </row>
    <row r="265" ht="15.75" customHeight="1">
      <c r="A265" s="2">
        <v>46.6</v>
      </c>
      <c r="B265" s="2">
        <v>14.2</v>
      </c>
      <c r="C265" s="2">
        <v>210.0</v>
      </c>
      <c r="D265" s="2">
        <v>4850.0</v>
      </c>
      <c r="E265" s="2"/>
    </row>
    <row r="266" ht="15.75" customHeight="1">
      <c r="A266" s="2">
        <v>48.5</v>
      </c>
      <c r="B266" s="2">
        <v>14.1</v>
      </c>
      <c r="C266" s="2">
        <v>220.0</v>
      </c>
      <c r="D266" s="2">
        <v>5300.0</v>
      </c>
      <c r="E266" s="2"/>
    </row>
    <row r="267" ht="15.75" customHeight="1">
      <c r="A267" s="2">
        <v>45.1</v>
      </c>
      <c r="B267" s="2">
        <v>14.4</v>
      </c>
      <c r="C267" s="2">
        <v>210.0</v>
      </c>
      <c r="D267" s="2">
        <v>4400.0</v>
      </c>
      <c r="E267" s="2"/>
    </row>
    <row r="268" ht="15.75" customHeight="1">
      <c r="A268" s="2">
        <v>50.1</v>
      </c>
      <c r="B268" s="2">
        <v>15.0</v>
      </c>
      <c r="C268" s="2">
        <v>225.0</v>
      </c>
      <c r="D268" s="2">
        <v>5000.0</v>
      </c>
      <c r="E268" s="2"/>
    </row>
    <row r="269" ht="15.75" customHeight="1">
      <c r="A269" s="2">
        <v>46.5</v>
      </c>
      <c r="B269" s="2">
        <v>14.4</v>
      </c>
      <c r="C269" s="2">
        <v>217.0</v>
      </c>
      <c r="D269" s="2">
        <v>4900.0</v>
      </c>
      <c r="E269" s="2"/>
    </row>
    <row r="270" ht="15.75" customHeight="1">
      <c r="A270" s="2">
        <v>45.0</v>
      </c>
      <c r="B270" s="2">
        <v>15.4</v>
      </c>
      <c r="C270" s="2">
        <v>220.0</v>
      </c>
      <c r="D270" s="2">
        <v>5050.0</v>
      </c>
      <c r="E270" s="2"/>
    </row>
    <row r="271" ht="15.75" customHeight="1">
      <c r="A271" s="2">
        <v>43.8</v>
      </c>
      <c r="B271" s="2">
        <v>13.9</v>
      </c>
      <c r="C271" s="2">
        <v>208.0</v>
      </c>
      <c r="D271" s="2">
        <v>4300.0</v>
      </c>
      <c r="E271" s="2"/>
    </row>
    <row r="272" ht="15.75" customHeight="1">
      <c r="A272" s="2">
        <v>45.5</v>
      </c>
      <c r="B272" s="2">
        <v>15.0</v>
      </c>
      <c r="C272" s="2">
        <v>220.0</v>
      </c>
      <c r="D272" s="2">
        <v>5000.0</v>
      </c>
      <c r="E272" s="2"/>
    </row>
    <row r="273" ht="15.75" customHeight="1">
      <c r="A273" s="2">
        <v>43.2</v>
      </c>
      <c r="B273" s="2">
        <v>14.5</v>
      </c>
      <c r="C273" s="2">
        <v>208.0</v>
      </c>
      <c r="D273" s="2">
        <v>4450.0</v>
      </c>
      <c r="E273" s="2"/>
    </row>
    <row r="274" ht="15.75" customHeight="1">
      <c r="A274" s="2">
        <v>50.4</v>
      </c>
      <c r="B274" s="2">
        <v>15.3</v>
      </c>
      <c r="C274" s="2">
        <v>224.0</v>
      </c>
      <c r="D274" s="2">
        <v>5550.0</v>
      </c>
      <c r="E274" s="2"/>
    </row>
    <row r="275" ht="15.75" customHeight="1">
      <c r="A275" s="2">
        <v>45.3</v>
      </c>
      <c r="B275" s="2">
        <v>13.8</v>
      </c>
      <c r="C275" s="2">
        <v>208.0</v>
      </c>
      <c r="D275" s="2">
        <v>4200.0</v>
      </c>
      <c r="E275" s="2"/>
    </row>
    <row r="276" ht="15.75" customHeight="1">
      <c r="A276" s="2">
        <v>46.2</v>
      </c>
      <c r="B276" s="2">
        <v>14.9</v>
      </c>
      <c r="C276" s="2">
        <v>221.0</v>
      </c>
      <c r="D276" s="2">
        <v>5300.0</v>
      </c>
      <c r="E276" s="2"/>
    </row>
    <row r="277" ht="15.75" customHeight="1">
      <c r="A277" s="2">
        <v>45.7</v>
      </c>
      <c r="B277" s="2">
        <v>13.9</v>
      </c>
      <c r="C277" s="2">
        <v>214.0</v>
      </c>
      <c r="D277" s="2">
        <v>4400.0</v>
      </c>
      <c r="E277" s="2"/>
    </row>
    <row r="278" ht="15.75" customHeight="1">
      <c r="A278" s="2">
        <v>54.3</v>
      </c>
      <c r="B278" s="2">
        <v>15.7</v>
      </c>
      <c r="C278" s="2">
        <v>231.0</v>
      </c>
      <c r="D278" s="2">
        <v>5650.0</v>
      </c>
      <c r="E278" s="2"/>
    </row>
    <row r="279" ht="15.75" customHeight="1">
      <c r="A279" s="2">
        <v>45.8</v>
      </c>
      <c r="B279" s="2">
        <v>14.2</v>
      </c>
      <c r="C279" s="2">
        <v>219.0</v>
      </c>
      <c r="D279" s="2">
        <v>4700.0</v>
      </c>
      <c r="E279" s="2"/>
    </row>
    <row r="280" ht="15.75" customHeight="1">
      <c r="A280" s="2">
        <v>49.8</v>
      </c>
      <c r="B280" s="2">
        <v>16.8</v>
      </c>
      <c r="C280" s="2">
        <v>230.0</v>
      </c>
      <c r="D280" s="2">
        <v>5700.0</v>
      </c>
      <c r="E280" s="2"/>
    </row>
    <row r="281" ht="15.75" customHeight="1">
      <c r="A281" s="2">
        <v>49.5</v>
      </c>
      <c r="B281" s="2">
        <v>16.2</v>
      </c>
      <c r="C281" s="2">
        <v>229.0</v>
      </c>
      <c r="D281" s="2">
        <v>5800.0</v>
      </c>
      <c r="E281" s="2"/>
    </row>
    <row r="282" ht="15.75" customHeight="1">
      <c r="A282" s="2">
        <v>43.5</v>
      </c>
      <c r="B282" s="2">
        <v>14.2</v>
      </c>
      <c r="C282" s="2">
        <v>220.0</v>
      </c>
      <c r="D282" s="2">
        <v>4700.0</v>
      </c>
      <c r="E282" s="2"/>
    </row>
    <row r="283" ht="15.75" customHeight="1">
      <c r="A283" s="2">
        <v>50.7</v>
      </c>
      <c r="B283" s="2">
        <v>15.0</v>
      </c>
      <c r="C283" s="2">
        <v>223.0</v>
      </c>
      <c r="D283" s="2">
        <v>5550.0</v>
      </c>
      <c r="E283" s="2"/>
    </row>
    <row r="284" ht="15.75" customHeight="1">
      <c r="A284" s="2">
        <v>47.7</v>
      </c>
      <c r="B284" s="2">
        <v>15.0</v>
      </c>
      <c r="C284" s="2">
        <v>216.0</v>
      </c>
      <c r="D284" s="2">
        <v>4750.0</v>
      </c>
      <c r="E284" s="2"/>
    </row>
    <row r="285" ht="15.75" customHeight="1">
      <c r="A285" s="2">
        <v>46.4</v>
      </c>
      <c r="B285" s="2">
        <v>15.6</v>
      </c>
      <c r="C285" s="2">
        <v>221.0</v>
      </c>
      <c r="D285" s="2">
        <v>5000.0</v>
      </c>
      <c r="E285" s="2"/>
    </row>
    <row r="286" ht="15.75" customHeight="1">
      <c r="A286" s="2">
        <v>48.2</v>
      </c>
      <c r="B286" s="2">
        <v>15.6</v>
      </c>
      <c r="C286" s="2">
        <v>221.0</v>
      </c>
      <c r="D286" s="2">
        <v>5100.0</v>
      </c>
      <c r="E286" s="2"/>
    </row>
    <row r="287" ht="15.75" customHeight="1">
      <c r="A287" s="2">
        <v>46.5</v>
      </c>
      <c r="B287" s="2">
        <v>14.8</v>
      </c>
      <c r="C287" s="2">
        <v>217.0</v>
      </c>
      <c r="D287" s="2">
        <v>5200.0</v>
      </c>
      <c r="E287" s="2"/>
    </row>
    <row r="288" ht="15.75" customHeight="1">
      <c r="A288" s="2">
        <v>46.4</v>
      </c>
      <c r="B288" s="2">
        <v>15.0</v>
      </c>
      <c r="C288" s="2">
        <v>216.0</v>
      </c>
      <c r="D288" s="2">
        <v>4700.0</v>
      </c>
      <c r="E288" s="2"/>
    </row>
    <row r="289" ht="15.75" customHeight="1">
      <c r="A289" s="2">
        <v>48.6</v>
      </c>
      <c r="B289" s="2">
        <v>16.0</v>
      </c>
      <c r="C289" s="2">
        <v>230.0</v>
      </c>
      <c r="D289" s="2">
        <v>5800.0</v>
      </c>
      <c r="E289" s="2"/>
    </row>
    <row r="290" ht="15.75" customHeight="1">
      <c r="A290" s="2">
        <v>47.5</v>
      </c>
      <c r="B290" s="2">
        <v>14.2</v>
      </c>
      <c r="C290" s="2">
        <v>209.0</v>
      </c>
      <c r="D290" s="2">
        <v>4600.0</v>
      </c>
      <c r="E290" s="2"/>
    </row>
    <row r="291" ht="15.75" customHeight="1">
      <c r="A291" s="2">
        <v>51.1</v>
      </c>
      <c r="B291" s="2">
        <v>16.3</v>
      </c>
      <c r="C291" s="2">
        <v>220.0</v>
      </c>
      <c r="D291" s="2">
        <v>6000.0</v>
      </c>
      <c r="E291" s="2"/>
    </row>
    <row r="292" ht="15.75" customHeight="1">
      <c r="A292" s="2">
        <v>45.2</v>
      </c>
      <c r="B292" s="2">
        <v>13.8</v>
      </c>
      <c r="C292" s="2">
        <v>215.0</v>
      </c>
      <c r="D292" s="2">
        <v>4750.0</v>
      </c>
      <c r="E292" s="2"/>
    </row>
    <row r="293" ht="15.75" customHeight="1">
      <c r="A293" s="2">
        <v>45.2</v>
      </c>
      <c r="B293" s="2">
        <v>16.4</v>
      </c>
      <c r="C293" s="2">
        <v>223.0</v>
      </c>
      <c r="D293" s="2">
        <v>5950.0</v>
      </c>
      <c r="E293" s="2"/>
    </row>
    <row r="294" ht="15.75" customHeight="1">
      <c r="A294" s="2">
        <v>49.1</v>
      </c>
      <c r="B294" s="2">
        <v>14.5</v>
      </c>
      <c r="C294" s="2">
        <v>212.0</v>
      </c>
      <c r="D294" s="2">
        <v>4625.0</v>
      </c>
      <c r="E294" s="2"/>
    </row>
    <row r="295" ht="15.75" customHeight="1">
      <c r="A295" s="2">
        <v>52.5</v>
      </c>
      <c r="B295" s="2">
        <v>15.6</v>
      </c>
      <c r="C295" s="2">
        <v>221.0</v>
      </c>
      <c r="D295" s="2">
        <v>5450.0</v>
      </c>
      <c r="E295" s="2"/>
    </row>
    <row r="296" ht="15.75" customHeight="1">
      <c r="A296" s="2">
        <v>47.4</v>
      </c>
      <c r="B296" s="2">
        <v>14.6</v>
      </c>
      <c r="C296" s="2">
        <v>212.0</v>
      </c>
      <c r="D296" s="2">
        <v>4725.0</v>
      </c>
      <c r="E296" s="2"/>
    </row>
    <row r="297" ht="15.75" customHeight="1">
      <c r="A297" s="2">
        <v>50.0</v>
      </c>
      <c r="B297" s="2">
        <v>15.9</v>
      </c>
      <c r="C297" s="2">
        <v>224.0</v>
      </c>
      <c r="D297" s="2">
        <v>5350.0</v>
      </c>
      <c r="E297" s="2"/>
    </row>
    <row r="298" ht="15.75" customHeight="1">
      <c r="A298" s="2">
        <v>44.9</v>
      </c>
      <c r="B298" s="2">
        <v>13.8</v>
      </c>
      <c r="C298" s="2">
        <v>212.0</v>
      </c>
      <c r="D298" s="2">
        <v>4750.0</v>
      </c>
      <c r="E298" s="2"/>
    </row>
    <row r="299" ht="15.75" customHeight="1">
      <c r="A299" s="2">
        <v>50.8</v>
      </c>
      <c r="B299" s="2">
        <v>17.3</v>
      </c>
      <c r="C299" s="2">
        <v>228.0</v>
      </c>
      <c r="D299" s="2">
        <v>5600.0</v>
      </c>
      <c r="E299" s="2"/>
    </row>
    <row r="300" ht="15.75" customHeight="1">
      <c r="A300" s="2">
        <v>43.4</v>
      </c>
      <c r="B300" s="2">
        <v>14.4</v>
      </c>
      <c r="C300" s="2">
        <v>218.0</v>
      </c>
      <c r="D300" s="2">
        <v>4600.0</v>
      </c>
      <c r="E300" s="2"/>
    </row>
    <row r="301" ht="15.75" customHeight="1">
      <c r="A301" s="2">
        <v>51.3</v>
      </c>
      <c r="B301" s="2">
        <v>14.2</v>
      </c>
      <c r="C301" s="2">
        <v>218.0</v>
      </c>
      <c r="D301" s="2">
        <v>5300.0</v>
      </c>
      <c r="E301" s="2"/>
    </row>
    <row r="302" ht="15.75" customHeight="1">
      <c r="A302" s="2">
        <v>47.5</v>
      </c>
      <c r="B302" s="2">
        <v>14.0</v>
      </c>
      <c r="C302" s="2">
        <v>212.0</v>
      </c>
      <c r="D302" s="2">
        <v>4875.0</v>
      </c>
      <c r="E302" s="2"/>
    </row>
    <row r="303" ht="15.75" customHeight="1">
      <c r="A303" s="2">
        <v>52.1</v>
      </c>
      <c r="B303" s="2">
        <v>17.0</v>
      </c>
      <c r="C303" s="2">
        <v>230.0</v>
      </c>
      <c r="D303" s="2">
        <v>5550.0</v>
      </c>
      <c r="E303" s="2"/>
    </row>
    <row r="304" ht="15.75" customHeight="1">
      <c r="A304" s="2">
        <v>47.5</v>
      </c>
      <c r="B304" s="2">
        <v>15.0</v>
      </c>
      <c r="C304" s="2">
        <v>218.0</v>
      </c>
      <c r="D304" s="2">
        <v>4950.0</v>
      </c>
      <c r="E304" s="2"/>
    </row>
    <row r="305" ht="15.75" customHeight="1">
      <c r="A305" s="2">
        <v>52.2</v>
      </c>
      <c r="B305" s="2">
        <v>17.1</v>
      </c>
      <c r="C305" s="2">
        <v>228.0</v>
      </c>
      <c r="D305" s="2">
        <v>5400.0</v>
      </c>
      <c r="E305" s="2"/>
    </row>
    <row r="306" ht="15.75" customHeight="1">
      <c r="A306" s="2">
        <v>45.5</v>
      </c>
      <c r="B306" s="2">
        <v>14.5</v>
      </c>
      <c r="C306" s="2">
        <v>212.0</v>
      </c>
      <c r="D306" s="2">
        <v>4750.0</v>
      </c>
      <c r="E306" s="2"/>
    </row>
    <row r="307" ht="15.75" customHeight="1">
      <c r="A307" s="2">
        <v>49.5</v>
      </c>
      <c r="B307" s="2">
        <v>16.1</v>
      </c>
      <c r="C307" s="2">
        <v>224.0</v>
      </c>
      <c r="D307" s="2">
        <v>5650.0</v>
      </c>
      <c r="E307" s="2"/>
    </row>
    <row r="308" ht="15.75" customHeight="1">
      <c r="A308" s="2">
        <v>44.5</v>
      </c>
      <c r="B308" s="2">
        <v>14.7</v>
      </c>
      <c r="C308" s="2">
        <v>214.0</v>
      </c>
      <c r="D308" s="2">
        <v>4850.0</v>
      </c>
      <c r="E308" s="2"/>
    </row>
    <row r="309" ht="15.75" customHeight="1">
      <c r="A309" s="2">
        <v>50.8</v>
      </c>
      <c r="B309" s="2">
        <v>15.7</v>
      </c>
      <c r="C309" s="2">
        <v>226.0</v>
      </c>
      <c r="D309" s="2">
        <v>5200.0</v>
      </c>
      <c r="E309" s="2"/>
    </row>
    <row r="310" ht="15.75" customHeight="1">
      <c r="A310" s="2">
        <v>49.4</v>
      </c>
      <c r="B310" s="2">
        <v>15.8</v>
      </c>
      <c r="C310" s="2">
        <v>216.0</v>
      </c>
      <c r="D310" s="2">
        <v>4925.0</v>
      </c>
      <c r="E310" s="2"/>
    </row>
    <row r="311" ht="15.75" customHeight="1">
      <c r="A311" s="2">
        <v>46.9</v>
      </c>
      <c r="B311" s="2">
        <v>14.6</v>
      </c>
      <c r="C311" s="2">
        <v>222.0</v>
      </c>
      <c r="D311" s="2">
        <v>4875.0</v>
      </c>
      <c r="E311" s="2"/>
    </row>
    <row r="312" ht="15.75" customHeight="1">
      <c r="A312" s="2">
        <v>48.4</v>
      </c>
      <c r="B312" s="2">
        <v>14.4</v>
      </c>
      <c r="C312" s="2">
        <v>203.0</v>
      </c>
      <c r="D312" s="2">
        <v>4625.0</v>
      </c>
      <c r="E312" s="2"/>
    </row>
    <row r="313" ht="15.75" customHeight="1">
      <c r="A313" s="2">
        <v>51.1</v>
      </c>
      <c r="B313" s="2">
        <v>16.5</v>
      </c>
      <c r="C313" s="2">
        <v>225.0</v>
      </c>
      <c r="D313" s="2">
        <v>5250.0</v>
      </c>
      <c r="E313" s="2"/>
    </row>
    <row r="314" ht="15.75" customHeight="1">
      <c r="A314" s="2">
        <v>48.5</v>
      </c>
      <c r="B314" s="2">
        <v>15.0</v>
      </c>
      <c r="C314" s="2">
        <v>219.0</v>
      </c>
      <c r="D314" s="2">
        <v>4850.0</v>
      </c>
      <c r="E314" s="2"/>
    </row>
    <row r="315" ht="15.75" customHeight="1">
      <c r="A315" s="2">
        <v>55.9</v>
      </c>
      <c r="B315" s="2">
        <v>17.0</v>
      </c>
      <c r="C315" s="2">
        <v>228.0</v>
      </c>
      <c r="D315" s="2">
        <v>5600.0</v>
      </c>
      <c r="E315" s="2"/>
    </row>
    <row r="316" ht="15.75" customHeight="1">
      <c r="A316" s="2">
        <v>47.2</v>
      </c>
      <c r="B316" s="2">
        <v>15.5</v>
      </c>
      <c r="C316" s="2">
        <v>215.0</v>
      </c>
      <c r="D316" s="2">
        <v>4975.0</v>
      </c>
      <c r="E316" s="2"/>
    </row>
    <row r="317" ht="15.75" customHeight="1">
      <c r="A317" s="2">
        <v>49.1</v>
      </c>
      <c r="B317" s="2">
        <v>15.0</v>
      </c>
      <c r="C317" s="2">
        <v>228.0</v>
      </c>
      <c r="D317" s="2">
        <v>5500.0</v>
      </c>
      <c r="E317" s="2"/>
    </row>
    <row r="318" ht="15.75" customHeight="1">
      <c r="A318" s="2">
        <v>46.8</v>
      </c>
      <c r="B318" s="2">
        <v>16.1</v>
      </c>
      <c r="C318" s="2">
        <v>215.0</v>
      </c>
      <c r="D318" s="2">
        <v>5500.0</v>
      </c>
      <c r="E318" s="2"/>
    </row>
    <row r="319" ht="15.75" customHeight="1">
      <c r="A319" s="2">
        <v>41.7</v>
      </c>
      <c r="B319" s="2">
        <v>14.7</v>
      </c>
      <c r="C319" s="2">
        <v>210.0</v>
      </c>
      <c r="D319" s="2">
        <v>4700.0</v>
      </c>
      <c r="E319" s="2"/>
    </row>
    <row r="320" ht="15.75" customHeight="1">
      <c r="A320" s="2">
        <v>53.4</v>
      </c>
      <c r="B320" s="2">
        <v>15.8</v>
      </c>
      <c r="C320" s="2">
        <v>219.0</v>
      </c>
      <c r="D320" s="2">
        <v>5500.0</v>
      </c>
      <c r="E320" s="2"/>
    </row>
    <row r="321" ht="15.75" customHeight="1">
      <c r="A321" s="2">
        <v>43.3</v>
      </c>
      <c r="B321" s="2">
        <v>14.0</v>
      </c>
      <c r="C321" s="2">
        <v>208.0</v>
      </c>
      <c r="D321" s="2">
        <v>4575.0</v>
      </c>
      <c r="E321" s="2"/>
    </row>
    <row r="322" ht="15.75" customHeight="1">
      <c r="A322" s="2">
        <v>48.1</v>
      </c>
      <c r="B322" s="2">
        <v>15.1</v>
      </c>
      <c r="C322" s="2">
        <v>209.0</v>
      </c>
      <c r="D322" s="2">
        <v>5500.0</v>
      </c>
      <c r="E322" s="2"/>
    </row>
    <row r="323" ht="15.75" customHeight="1">
      <c r="A323" s="2">
        <v>50.5</v>
      </c>
      <c r="B323" s="2">
        <v>15.2</v>
      </c>
      <c r="C323" s="2">
        <v>216.0</v>
      </c>
      <c r="D323" s="2">
        <v>5000.0</v>
      </c>
      <c r="E323" s="2"/>
    </row>
    <row r="324" ht="15.75" customHeight="1">
      <c r="A324" s="2">
        <v>49.8</v>
      </c>
      <c r="B324" s="2">
        <v>15.9</v>
      </c>
      <c r="C324" s="2">
        <v>229.0</v>
      </c>
      <c r="D324" s="2">
        <v>5950.0</v>
      </c>
      <c r="E324" s="2"/>
    </row>
    <row r="325" ht="15.75" customHeight="1">
      <c r="A325" s="2">
        <v>43.5</v>
      </c>
      <c r="B325" s="2">
        <v>15.2</v>
      </c>
      <c r="C325" s="2">
        <v>213.0</v>
      </c>
      <c r="D325" s="2">
        <v>4650.0</v>
      </c>
      <c r="E325" s="2"/>
    </row>
    <row r="326" ht="15.75" customHeight="1">
      <c r="A326" s="2">
        <v>51.5</v>
      </c>
      <c r="B326" s="2">
        <v>16.3</v>
      </c>
      <c r="C326" s="2">
        <v>230.0</v>
      </c>
      <c r="D326" s="2">
        <v>5500.0</v>
      </c>
      <c r="E326" s="2"/>
    </row>
    <row r="327" ht="15.75" customHeight="1">
      <c r="A327" s="2">
        <v>46.2</v>
      </c>
      <c r="B327" s="2">
        <v>14.1</v>
      </c>
      <c r="C327" s="2">
        <v>217.0</v>
      </c>
      <c r="D327" s="2">
        <v>4375.0</v>
      </c>
      <c r="E327" s="2"/>
    </row>
    <row r="328" ht="15.75" customHeight="1">
      <c r="A328" s="2">
        <v>55.1</v>
      </c>
      <c r="B328" s="2">
        <v>16.0</v>
      </c>
      <c r="C328" s="2">
        <v>230.0</v>
      </c>
      <c r="D328" s="2">
        <v>5850.0</v>
      </c>
      <c r="E328" s="2"/>
    </row>
    <row r="329" ht="15.75" customHeight="1">
      <c r="A329" s="2">
        <v>48.8</v>
      </c>
      <c r="B329" s="2">
        <v>16.2</v>
      </c>
      <c r="C329" s="2">
        <v>222.0</v>
      </c>
      <c r="D329" s="2">
        <v>6000.0</v>
      </c>
      <c r="E329" s="2"/>
    </row>
    <row r="330" ht="15.75" customHeight="1">
      <c r="A330" s="2">
        <v>47.2</v>
      </c>
      <c r="B330" s="2">
        <v>13.7</v>
      </c>
      <c r="C330" s="2">
        <v>214.0</v>
      </c>
      <c r="D330" s="2">
        <v>4925.0</v>
      </c>
      <c r="E330" s="2"/>
    </row>
    <row r="331" ht="15.75" customHeight="1">
      <c r="A331" s="2">
        <v>46.8</v>
      </c>
      <c r="B331" s="2">
        <v>14.3</v>
      </c>
      <c r="C331" s="2">
        <v>215.0</v>
      </c>
      <c r="D331" s="2">
        <v>4850.0</v>
      </c>
      <c r="E331" s="2"/>
    </row>
    <row r="332" ht="15.75" customHeight="1">
      <c r="A332" s="2">
        <v>50.4</v>
      </c>
      <c r="B332" s="2">
        <v>15.7</v>
      </c>
      <c r="C332" s="2">
        <v>222.0</v>
      </c>
      <c r="D332" s="2">
        <v>5750.0</v>
      </c>
      <c r="E332" s="2"/>
    </row>
    <row r="333" ht="15.75" customHeight="1">
      <c r="A333" s="2">
        <v>45.2</v>
      </c>
      <c r="B333" s="2">
        <v>14.8</v>
      </c>
      <c r="C333" s="2">
        <v>212.0</v>
      </c>
      <c r="D333" s="2">
        <v>5200.0</v>
      </c>
      <c r="E333" s="2"/>
    </row>
    <row r="334" ht="15.75" customHeight="1">
      <c r="A334" s="2">
        <v>49.9</v>
      </c>
      <c r="B334" s="2">
        <v>16.1</v>
      </c>
      <c r="C334" s="2">
        <v>213.0</v>
      </c>
      <c r="D334" s="2">
        <v>5400.0</v>
      </c>
      <c r="E334" s="2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4.43"/>
    <col customWidth="1" min="3" max="3" width="15.29"/>
    <col customWidth="1" min="4" max="4" width="18.29"/>
    <col customWidth="1" min="5" max="5" width="17.86"/>
    <col customWidth="1" min="6" max="6" width="17.57"/>
    <col customWidth="1" min="8" max="8" width="16.0"/>
  </cols>
  <sheetData>
    <row r="1">
      <c r="B1" s="2" t="s">
        <v>37</v>
      </c>
      <c r="C1" s="2" t="s">
        <v>38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17</v>
      </c>
    </row>
    <row r="2">
      <c r="A2" s="2" t="s">
        <v>37</v>
      </c>
      <c r="B2" s="2">
        <f>CORREL(Task3A!B2:B334,Task3A!B2:B334)</f>
        <v>1</v>
      </c>
      <c r="C2" s="2">
        <f>CORREL(Task3A!B2:B334,Task3A!D2:D334)</f>
        <v>-0.009175517124</v>
      </c>
      <c r="D2" s="2">
        <f>CORREL(Task3A!B2:B334,Task3A!E2:E334)</f>
        <v>0.7305476686</v>
      </c>
      <c r="E2" s="2">
        <f>CORREL(Task3A!B2:B334,Task3A!F2:F334)</f>
        <v>-0.7403460875</v>
      </c>
      <c r="F2" s="2">
        <f>CORREL(Task3A!B2:B334,Task3A!G2:G334)</f>
        <v>0.850736784</v>
      </c>
      <c r="G2" s="2">
        <f>CORREL(Task3A!B2:B334,Task3A!H2:H334)</f>
        <v>0.7504335824</v>
      </c>
      <c r="H2" s="2">
        <f>CORREL(Task3A!B2:B334,Task3A!J2:J334)</f>
        <v>0.01096360593</v>
      </c>
    </row>
    <row r="3">
      <c r="A3" s="2" t="s">
        <v>38</v>
      </c>
      <c r="B3" s="2">
        <f>CORREL(Task3A!D2:D334,Task3A!B2:B334)</f>
        <v>-0.009175517124</v>
      </c>
      <c r="C3" s="2">
        <f>CORREL(Task3A!D2:D334,Task3A!D2:D334)</f>
        <v>1</v>
      </c>
      <c r="D3" s="2">
        <f>CORREL(Task3A!D2:D334,Task3A!E2:E334)</f>
        <v>0.2120382922</v>
      </c>
      <c r="E3" s="2">
        <f>CORREL(Task3A!D2:D334,Task3A!F2:F334)</f>
        <v>0.1896359746</v>
      </c>
      <c r="F3" s="2">
        <f>CORREL(Task3A!D2:D334,Task3A!G2:G334)</f>
        <v>-0.1627386373</v>
      </c>
      <c r="G3" s="2">
        <f>CORREL(Task3A!D2:D334,Task3A!H2:H334)</f>
        <v>-0.2019664467</v>
      </c>
      <c r="H3" s="2">
        <f>CORREL(Task3A!D2:D334,Task3A!J2:J334)</f>
        <v>0.005834052857</v>
      </c>
    </row>
    <row r="4">
      <c r="A4" s="2" t="s">
        <v>2</v>
      </c>
      <c r="B4" s="2">
        <f>CORREL(Task3A!E2:E334,Task3A!B2:B334)</f>
        <v>0.7305476686</v>
      </c>
      <c r="C4" s="2">
        <f>CORREL(Task3A!E2:E334,Task3A!D2:D334)</f>
        <v>0.2120382922</v>
      </c>
      <c r="D4" s="2">
        <f>CORREL(Task3A!E2:E334,Task3A!E2:E334)</f>
        <v>1</v>
      </c>
      <c r="E4" s="2">
        <f>CORREL(Task3A!E2:E334,Task3A!F2:F334)</f>
        <v>-0.2286256359</v>
      </c>
      <c r="F4" s="2">
        <f>CORREL(Task3A!E2:E334,Task3A!G2:G334)</f>
        <v>0.6530956387</v>
      </c>
      <c r="G4" s="2">
        <f>CORREL(Task3A!E2:E334,Task3A!H2:H334)</f>
        <v>0.5894511102</v>
      </c>
      <c r="H4" s="2">
        <f>CORREL(Task3A!E2:E334,Task3A!J2:J334)</f>
        <v>0.3440777822</v>
      </c>
    </row>
    <row r="5">
      <c r="A5" s="2" t="s">
        <v>3</v>
      </c>
      <c r="B5" s="2">
        <f>CORREL(Task3A!F2:F334,Task3A!B2:B334)</f>
        <v>-0.7403460875</v>
      </c>
      <c r="C5" s="2">
        <f>CORREL(Task3A!F2:F334,Task3A!D2:D334)</f>
        <v>0.1896359746</v>
      </c>
      <c r="D5" s="2">
        <f>CORREL(Task3A!F2:F334,Task3A!E2:E334)</f>
        <v>-0.2286256359</v>
      </c>
      <c r="E5" s="2">
        <f>CORREL(Task3A!F2:F334,Task3A!F2:F334)</f>
        <v>1</v>
      </c>
      <c r="F5" s="2">
        <f>CORREL(Task3A!F2:F334,Task3A!G2:G334)</f>
        <v>-0.5777916963</v>
      </c>
      <c r="G5" s="2">
        <f>CORREL(Task3A!F2:F334,Task3A!H2:H334)</f>
        <v>-0.4720156602</v>
      </c>
      <c r="H5" s="2">
        <f>CORREL(Task3A!F2:F334,Task3A!J2:J334)</f>
        <v>0.3726732882</v>
      </c>
    </row>
    <row r="6">
      <c r="A6" s="2" t="s">
        <v>4</v>
      </c>
      <c r="B6" s="2">
        <f>CORREL(Task3A!G2:G334,Task3A!B2:B334)</f>
        <v>0.850736784</v>
      </c>
      <c r="C6" s="2">
        <f>CORREL(Task3A!G2:G334,Task3A!D2:D334)</f>
        <v>-0.1627386373</v>
      </c>
      <c r="D6" s="2">
        <f>CORREL(Task3A!G2:G334,Task3A!E2:E334)</f>
        <v>0.6530956387</v>
      </c>
      <c r="E6" s="2">
        <f>CORREL(Task3A!G2:G334,Task3A!F2:F334)</f>
        <v>-0.5777916963</v>
      </c>
      <c r="F6" s="2">
        <f>CORREL(Task3A!G2:G334,Task3A!G2:G334)</f>
        <v>1</v>
      </c>
      <c r="G6" s="2">
        <f>CORREL(Task3A!G2:G334,Task3A!H2:H334)</f>
        <v>0.8729788986</v>
      </c>
      <c r="H6" s="2">
        <f>CORREL(Task3A!G2:G334,Task3A!J2:J334)</f>
        <v>0.2551688758</v>
      </c>
    </row>
    <row r="7">
      <c r="A7" s="2" t="s">
        <v>5</v>
      </c>
      <c r="B7" s="2">
        <f>CORREL(Task3A!H2:H334,Task3A!B2:B334)</f>
        <v>0.7504335824</v>
      </c>
      <c r="C7" s="2">
        <f>CORREL(Task3A!H2:H334,Task3A!D2:D334)</f>
        <v>-0.2019664467</v>
      </c>
      <c r="D7" s="2">
        <f>CORREL(Task3A!H2:H334,Task3A!E2:E334)</f>
        <v>0.5894511102</v>
      </c>
      <c r="E7" s="2">
        <f>CORREL(Task3A!H2:H334,Task3A!F2:F334)</f>
        <v>-0.4720156602</v>
      </c>
      <c r="F7" s="2">
        <f>CORREL(Task3A!H2:H334,Task3A!G2:G334)</f>
        <v>0.8729788986</v>
      </c>
      <c r="G7" s="2">
        <f>CORREL(Task3A!H2:H334,Task3A!H2:H334)</f>
        <v>1</v>
      </c>
      <c r="H7" s="2">
        <f>CORREL(Task3A!G2:G334,Task3A!J2:J334)</f>
        <v>0.2551688758</v>
      </c>
    </row>
    <row r="8">
      <c r="A8" s="2" t="s">
        <v>17</v>
      </c>
      <c r="B8" s="2">
        <f>CORREL(Task3A!J2:J334,Task3A!B2:B334)</f>
        <v>0.01096360593</v>
      </c>
      <c r="C8" s="2">
        <f>CORREL(Task3A!J2:J334,Task3A!D2:D334)</f>
        <v>0.005834052857</v>
      </c>
      <c r="D8" s="2">
        <f>CORREL(Task3A!J2:J334,Task3A!E2:E334)</f>
        <v>0.3440777822</v>
      </c>
      <c r="E8" s="2">
        <f>CORREL(Task3A!J2:J334,Task3A!F2:F334)</f>
        <v>0.3726732882</v>
      </c>
      <c r="F8" s="2">
        <f>CORREL(Task3A!J2:J334,Task3A!G2:G334)</f>
        <v>0.2551688758</v>
      </c>
      <c r="G8" s="2">
        <f>CORREL(Task3A!J2:J334,Task3A!H2:H334)</f>
        <v>0.4249869909</v>
      </c>
      <c r="H8" s="2">
        <f>CORREL(Task3A!J2:J334,Task3A!J2:J334)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H8">
    <cfRule type="colorScale" priority="1">
      <colorScale>
        <cfvo type="formula" val="-1"/>
        <cfvo type="formula" val="0"/>
        <cfvo type="formula" val="1"/>
        <color rgb="FFFF0000"/>
        <color rgb="FFFFFFFF"/>
        <color rgb="FF6AA84F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5.86"/>
    <col customWidth="1" min="3" max="3" width="22.0"/>
    <col customWidth="1" min="4" max="6" width="14.43"/>
  </cols>
  <sheetData>
    <row r="1">
      <c r="A1" s="2" t="s">
        <v>4</v>
      </c>
      <c r="B1" s="2" t="s">
        <v>5</v>
      </c>
      <c r="C1" s="2" t="s">
        <v>39</v>
      </c>
      <c r="D1" s="2" t="s">
        <v>40</v>
      </c>
      <c r="E1" s="2" t="s">
        <v>41</v>
      </c>
    </row>
    <row r="2">
      <c r="A2" s="2">
        <v>181.0</v>
      </c>
      <c r="B2" s="2">
        <v>3750.0</v>
      </c>
      <c r="C2" s="2">
        <f t="shared" ref="C2:C334" si="1">INTERCEPT($B$2:$B$344,$A$2:$A$344)+SLOPE($B$2:$B$344,$A$2:$A$344)*A2</f>
        <v>3205.648453</v>
      </c>
      <c r="D2" s="2">
        <f t="shared" ref="D2:D334" si="2">B2-C2</f>
        <v>544.3515473</v>
      </c>
      <c r="E2" s="2">
        <f t="shared" ref="E2:E334" si="3">D2^2</f>
        <v>296318.607</v>
      </c>
    </row>
    <row r="3">
      <c r="A3" s="2">
        <v>186.0</v>
      </c>
      <c r="B3" s="2">
        <v>3800.0</v>
      </c>
      <c r="C3" s="2">
        <f t="shared" si="1"/>
        <v>3456.414782</v>
      </c>
      <c r="D3" s="2">
        <f t="shared" si="2"/>
        <v>343.5852176</v>
      </c>
      <c r="E3" s="2">
        <f t="shared" si="3"/>
        <v>118050.8017</v>
      </c>
    </row>
    <row r="4">
      <c r="A4" s="2">
        <v>195.0</v>
      </c>
      <c r="B4" s="2">
        <v>3250.0</v>
      </c>
      <c r="C4" s="2">
        <f t="shared" si="1"/>
        <v>3907.794176</v>
      </c>
      <c r="D4" s="2">
        <f t="shared" si="2"/>
        <v>-657.7941759</v>
      </c>
      <c r="E4" s="2">
        <f t="shared" si="3"/>
        <v>432693.1778</v>
      </c>
    </row>
    <row r="5">
      <c r="A5" s="2">
        <v>193.0</v>
      </c>
      <c r="B5" s="2">
        <v>3450.0</v>
      </c>
      <c r="C5" s="2">
        <f t="shared" si="1"/>
        <v>3807.487644</v>
      </c>
      <c r="D5" s="2">
        <f t="shared" si="2"/>
        <v>-357.487644</v>
      </c>
      <c r="E5" s="2">
        <f t="shared" si="3"/>
        <v>127797.4156</v>
      </c>
    </row>
    <row r="6">
      <c r="A6" s="2">
        <v>190.0</v>
      </c>
      <c r="B6" s="2">
        <v>3650.0</v>
      </c>
      <c r="C6" s="2">
        <f t="shared" si="1"/>
        <v>3657.027846</v>
      </c>
      <c r="D6" s="2">
        <f t="shared" si="2"/>
        <v>-7.027846183</v>
      </c>
      <c r="E6" s="2">
        <f t="shared" si="3"/>
        <v>49.39062197</v>
      </c>
    </row>
    <row r="7">
      <c r="A7" s="2">
        <v>181.0</v>
      </c>
      <c r="B7" s="2">
        <v>3625.0</v>
      </c>
      <c r="C7" s="2">
        <f t="shared" si="1"/>
        <v>3205.648453</v>
      </c>
      <c r="D7" s="2">
        <f t="shared" si="2"/>
        <v>419.3515473</v>
      </c>
      <c r="E7" s="2">
        <f t="shared" si="3"/>
        <v>175855.7202</v>
      </c>
    </row>
    <row r="8">
      <c r="A8" s="2">
        <v>195.0</v>
      </c>
      <c r="B8" s="2">
        <v>4675.0</v>
      </c>
      <c r="C8" s="2">
        <f t="shared" si="1"/>
        <v>3907.794176</v>
      </c>
      <c r="D8" s="2">
        <f t="shared" si="2"/>
        <v>767.2058241</v>
      </c>
      <c r="E8" s="2">
        <f t="shared" si="3"/>
        <v>588604.7765</v>
      </c>
    </row>
    <row r="9">
      <c r="A9" s="2">
        <v>182.0</v>
      </c>
      <c r="B9" s="2">
        <v>3200.0</v>
      </c>
      <c r="C9" s="2">
        <f t="shared" si="1"/>
        <v>3255.801719</v>
      </c>
      <c r="D9" s="2">
        <f t="shared" si="2"/>
        <v>-55.80171865</v>
      </c>
      <c r="E9" s="2">
        <f t="shared" si="3"/>
        <v>3113.831804</v>
      </c>
    </row>
    <row r="10">
      <c r="A10" s="2">
        <v>191.0</v>
      </c>
      <c r="B10" s="2">
        <v>3800.0</v>
      </c>
      <c r="C10" s="2">
        <f t="shared" si="1"/>
        <v>3707.181112</v>
      </c>
      <c r="D10" s="2">
        <f t="shared" si="2"/>
        <v>92.81888787</v>
      </c>
      <c r="E10" s="2">
        <f t="shared" si="3"/>
        <v>8615.345946</v>
      </c>
    </row>
    <row r="11">
      <c r="A11" s="2">
        <v>198.0</v>
      </c>
      <c r="B11" s="2">
        <v>4400.0</v>
      </c>
      <c r="C11" s="2">
        <f t="shared" si="1"/>
        <v>4058.253974</v>
      </c>
      <c r="D11" s="2">
        <f t="shared" si="2"/>
        <v>341.7460263</v>
      </c>
      <c r="E11" s="2">
        <f t="shared" si="3"/>
        <v>116790.3465</v>
      </c>
    </row>
    <row r="12">
      <c r="A12" s="2">
        <v>185.0</v>
      </c>
      <c r="B12" s="2">
        <v>3700.0</v>
      </c>
      <c r="C12" s="2">
        <f t="shared" si="1"/>
        <v>3406.261516</v>
      </c>
      <c r="D12" s="2">
        <f t="shared" si="2"/>
        <v>293.7384835</v>
      </c>
      <c r="E12" s="2">
        <f t="shared" si="3"/>
        <v>86282.29671</v>
      </c>
    </row>
    <row r="13">
      <c r="A13" s="2">
        <v>195.0</v>
      </c>
      <c r="B13" s="2">
        <v>3450.0</v>
      </c>
      <c r="C13" s="2">
        <f t="shared" si="1"/>
        <v>3907.794176</v>
      </c>
      <c r="D13" s="2">
        <f t="shared" si="2"/>
        <v>-457.7941759</v>
      </c>
      <c r="E13" s="2">
        <f t="shared" si="3"/>
        <v>209575.5075</v>
      </c>
    </row>
    <row r="14">
      <c r="A14" s="2">
        <v>197.0</v>
      </c>
      <c r="B14" s="2">
        <v>4500.0</v>
      </c>
      <c r="C14" s="2">
        <f t="shared" si="1"/>
        <v>4008.100708</v>
      </c>
      <c r="D14" s="2">
        <f t="shared" si="2"/>
        <v>491.8992922</v>
      </c>
      <c r="E14" s="2">
        <f t="shared" si="3"/>
        <v>241964.9137</v>
      </c>
    </row>
    <row r="15">
      <c r="A15" s="2">
        <v>184.0</v>
      </c>
      <c r="B15" s="2">
        <v>3325.0</v>
      </c>
      <c r="C15" s="2">
        <f t="shared" si="1"/>
        <v>3356.108251</v>
      </c>
      <c r="D15" s="2">
        <f t="shared" si="2"/>
        <v>-31.10825053</v>
      </c>
      <c r="E15" s="2">
        <f t="shared" si="3"/>
        <v>967.723251</v>
      </c>
    </row>
    <row r="16">
      <c r="A16" s="2">
        <v>194.0</v>
      </c>
      <c r="B16" s="2">
        <v>4200.0</v>
      </c>
      <c r="C16" s="2">
        <f t="shared" si="1"/>
        <v>3857.64091</v>
      </c>
      <c r="D16" s="2">
        <f t="shared" si="2"/>
        <v>342.35909</v>
      </c>
      <c r="E16" s="2">
        <f t="shared" si="3"/>
        <v>117209.7465</v>
      </c>
    </row>
    <row r="17">
      <c r="A17" s="2">
        <v>174.0</v>
      </c>
      <c r="B17" s="2">
        <v>3400.0</v>
      </c>
      <c r="C17" s="2">
        <f t="shared" si="1"/>
        <v>2854.575591</v>
      </c>
      <c r="D17" s="2">
        <f t="shared" si="2"/>
        <v>545.4244089</v>
      </c>
      <c r="E17" s="2">
        <f t="shared" si="3"/>
        <v>297487.7858</v>
      </c>
    </row>
    <row r="18">
      <c r="A18" s="2">
        <v>180.0</v>
      </c>
      <c r="B18" s="2">
        <v>3600.0</v>
      </c>
      <c r="C18" s="2">
        <f t="shared" si="1"/>
        <v>3155.495187</v>
      </c>
      <c r="D18" s="2">
        <f t="shared" si="2"/>
        <v>444.5048132</v>
      </c>
      <c r="E18" s="2">
        <f t="shared" si="3"/>
        <v>197584.529</v>
      </c>
    </row>
    <row r="19">
      <c r="A19" s="2">
        <v>189.0</v>
      </c>
      <c r="B19" s="2">
        <v>3800.0</v>
      </c>
      <c r="C19" s="2">
        <f t="shared" si="1"/>
        <v>3606.87458</v>
      </c>
      <c r="D19" s="2">
        <f t="shared" si="2"/>
        <v>193.1254198</v>
      </c>
      <c r="E19" s="2">
        <f t="shared" si="3"/>
        <v>37297.42776</v>
      </c>
    </row>
    <row r="20">
      <c r="A20" s="2">
        <v>185.0</v>
      </c>
      <c r="B20" s="2">
        <v>3950.0</v>
      </c>
      <c r="C20" s="2">
        <f t="shared" si="1"/>
        <v>3406.261516</v>
      </c>
      <c r="D20" s="2">
        <f t="shared" si="2"/>
        <v>543.7384835</v>
      </c>
      <c r="E20" s="2">
        <f t="shared" si="3"/>
        <v>295651.5385</v>
      </c>
    </row>
    <row r="21" ht="15.75" customHeight="1">
      <c r="A21" s="2">
        <v>180.0</v>
      </c>
      <c r="B21" s="2">
        <v>3800.0</v>
      </c>
      <c r="C21" s="2">
        <f t="shared" si="1"/>
        <v>3155.495187</v>
      </c>
      <c r="D21" s="2">
        <f t="shared" si="2"/>
        <v>644.5048132</v>
      </c>
      <c r="E21" s="2">
        <f t="shared" si="3"/>
        <v>415386.4543</v>
      </c>
    </row>
    <row r="22" ht="15.75" customHeight="1">
      <c r="A22" s="2">
        <v>187.0</v>
      </c>
      <c r="B22" s="2">
        <v>3800.0</v>
      </c>
      <c r="C22" s="2">
        <f t="shared" si="1"/>
        <v>3506.568048</v>
      </c>
      <c r="D22" s="2">
        <f t="shared" si="2"/>
        <v>293.4319516</v>
      </c>
      <c r="E22" s="2">
        <f t="shared" si="3"/>
        <v>86102.31025</v>
      </c>
    </row>
    <row r="23" ht="15.75" customHeight="1">
      <c r="A23" s="2">
        <v>183.0</v>
      </c>
      <c r="B23" s="2">
        <v>3550.0</v>
      </c>
      <c r="C23" s="2">
        <f t="shared" si="1"/>
        <v>3305.954985</v>
      </c>
      <c r="D23" s="2">
        <f t="shared" si="2"/>
        <v>244.0450154</v>
      </c>
      <c r="E23" s="2">
        <f t="shared" si="3"/>
        <v>59557.96955</v>
      </c>
    </row>
    <row r="24" ht="15.75" customHeight="1">
      <c r="A24" s="2">
        <v>187.0</v>
      </c>
      <c r="B24" s="2">
        <v>3200.0</v>
      </c>
      <c r="C24" s="2">
        <f t="shared" si="1"/>
        <v>3506.568048</v>
      </c>
      <c r="D24" s="2">
        <f t="shared" si="2"/>
        <v>-306.5680484</v>
      </c>
      <c r="E24" s="2">
        <f t="shared" si="3"/>
        <v>93983.96827</v>
      </c>
    </row>
    <row r="25" ht="15.75" customHeight="1">
      <c r="A25" s="2">
        <v>172.0</v>
      </c>
      <c r="B25" s="2">
        <v>3150.0</v>
      </c>
      <c r="C25" s="2">
        <f t="shared" si="1"/>
        <v>2754.269059</v>
      </c>
      <c r="D25" s="2">
        <f t="shared" si="2"/>
        <v>395.7309408</v>
      </c>
      <c r="E25" s="2">
        <f t="shared" si="3"/>
        <v>156602.9775</v>
      </c>
    </row>
    <row r="26" ht="15.75" customHeight="1">
      <c r="A26" s="2">
        <v>180.0</v>
      </c>
      <c r="B26" s="2">
        <v>3950.0</v>
      </c>
      <c r="C26" s="2">
        <f t="shared" si="1"/>
        <v>3155.495187</v>
      </c>
      <c r="D26" s="2">
        <f t="shared" si="2"/>
        <v>794.5048132</v>
      </c>
      <c r="E26" s="2">
        <f t="shared" si="3"/>
        <v>631237.8983</v>
      </c>
    </row>
    <row r="27" ht="15.75" customHeight="1">
      <c r="A27" s="2">
        <v>178.0</v>
      </c>
      <c r="B27" s="2">
        <v>3250.0</v>
      </c>
      <c r="C27" s="2">
        <f t="shared" si="1"/>
        <v>3055.188655</v>
      </c>
      <c r="D27" s="2">
        <f t="shared" si="2"/>
        <v>194.8113451</v>
      </c>
      <c r="E27" s="2">
        <f t="shared" si="3"/>
        <v>37951.46019</v>
      </c>
    </row>
    <row r="28" ht="15.75" customHeight="1">
      <c r="A28" s="2">
        <v>178.0</v>
      </c>
      <c r="B28" s="2">
        <v>3900.0</v>
      </c>
      <c r="C28" s="2">
        <f t="shared" si="1"/>
        <v>3055.188655</v>
      </c>
      <c r="D28" s="2">
        <f t="shared" si="2"/>
        <v>844.8113451</v>
      </c>
      <c r="E28" s="2">
        <f t="shared" si="3"/>
        <v>713706.2089</v>
      </c>
    </row>
    <row r="29" ht="15.75" customHeight="1">
      <c r="A29" s="2">
        <v>188.0</v>
      </c>
      <c r="B29" s="2">
        <v>3300.0</v>
      </c>
      <c r="C29" s="2">
        <f t="shared" si="1"/>
        <v>3556.721314</v>
      </c>
      <c r="D29" s="2">
        <f t="shared" si="2"/>
        <v>-256.7213143</v>
      </c>
      <c r="E29" s="2">
        <f t="shared" si="3"/>
        <v>65905.83322</v>
      </c>
    </row>
    <row r="30" ht="15.75" customHeight="1">
      <c r="A30" s="2">
        <v>184.0</v>
      </c>
      <c r="B30" s="2">
        <v>3900.0</v>
      </c>
      <c r="C30" s="2">
        <f t="shared" si="1"/>
        <v>3356.108251</v>
      </c>
      <c r="D30" s="2">
        <f t="shared" si="2"/>
        <v>543.8917495</v>
      </c>
      <c r="E30" s="2">
        <f t="shared" si="3"/>
        <v>295818.2351</v>
      </c>
    </row>
    <row r="31" ht="15.75" customHeight="1">
      <c r="A31" s="2">
        <v>195.0</v>
      </c>
      <c r="B31" s="2">
        <v>3325.0</v>
      </c>
      <c r="C31" s="2">
        <f t="shared" si="1"/>
        <v>3907.794176</v>
      </c>
      <c r="D31" s="2">
        <f t="shared" si="2"/>
        <v>-582.7941759</v>
      </c>
      <c r="E31" s="2">
        <f t="shared" si="3"/>
        <v>339649.0515</v>
      </c>
    </row>
    <row r="32" ht="15.75" customHeight="1">
      <c r="A32" s="2">
        <v>196.0</v>
      </c>
      <c r="B32" s="2">
        <v>4150.0</v>
      </c>
      <c r="C32" s="2">
        <f t="shared" si="1"/>
        <v>3957.947442</v>
      </c>
      <c r="D32" s="2">
        <f t="shared" si="2"/>
        <v>192.0525582</v>
      </c>
      <c r="E32" s="2">
        <f t="shared" si="3"/>
        <v>36884.1851</v>
      </c>
    </row>
    <row r="33" ht="15.75" customHeight="1">
      <c r="A33" s="2">
        <v>190.0</v>
      </c>
      <c r="B33" s="2">
        <v>3950.0</v>
      </c>
      <c r="C33" s="2">
        <f t="shared" si="1"/>
        <v>3657.027846</v>
      </c>
      <c r="D33" s="2">
        <f t="shared" si="2"/>
        <v>292.9721538</v>
      </c>
      <c r="E33" s="2">
        <f t="shared" si="3"/>
        <v>85832.68291</v>
      </c>
    </row>
    <row r="34" ht="15.75" customHeight="1">
      <c r="A34" s="2">
        <v>180.0</v>
      </c>
      <c r="B34" s="2">
        <v>3550.0</v>
      </c>
      <c r="C34" s="2">
        <f t="shared" si="1"/>
        <v>3155.495187</v>
      </c>
      <c r="D34" s="2">
        <f t="shared" si="2"/>
        <v>394.5048132</v>
      </c>
      <c r="E34" s="2">
        <f t="shared" si="3"/>
        <v>155634.0477</v>
      </c>
    </row>
    <row r="35" ht="15.75" customHeight="1">
      <c r="A35" s="2">
        <v>181.0</v>
      </c>
      <c r="B35" s="2">
        <v>3300.0</v>
      </c>
      <c r="C35" s="2">
        <f t="shared" si="1"/>
        <v>3205.648453</v>
      </c>
      <c r="D35" s="2">
        <f t="shared" si="2"/>
        <v>94.3515473</v>
      </c>
      <c r="E35" s="2">
        <f t="shared" si="3"/>
        <v>8902.214477</v>
      </c>
    </row>
    <row r="36" ht="15.75" customHeight="1">
      <c r="A36" s="2">
        <v>184.0</v>
      </c>
      <c r="B36" s="2">
        <v>4650.0</v>
      </c>
      <c r="C36" s="2">
        <f t="shared" si="1"/>
        <v>3356.108251</v>
      </c>
      <c r="D36" s="2">
        <f t="shared" si="2"/>
        <v>1293.891749</v>
      </c>
      <c r="E36" s="2">
        <f t="shared" si="3"/>
        <v>1674155.859</v>
      </c>
    </row>
    <row r="37" ht="15.75" customHeight="1">
      <c r="A37" s="2">
        <v>182.0</v>
      </c>
      <c r="B37" s="2">
        <v>3150.0</v>
      </c>
      <c r="C37" s="2">
        <f t="shared" si="1"/>
        <v>3255.801719</v>
      </c>
      <c r="D37" s="2">
        <f t="shared" si="2"/>
        <v>-105.8017186</v>
      </c>
      <c r="E37" s="2">
        <f t="shared" si="3"/>
        <v>11194.00367</v>
      </c>
    </row>
    <row r="38" ht="15.75" customHeight="1">
      <c r="A38" s="2">
        <v>195.0</v>
      </c>
      <c r="B38" s="2">
        <v>3900.0</v>
      </c>
      <c r="C38" s="2">
        <f t="shared" si="1"/>
        <v>3907.794176</v>
      </c>
      <c r="D38" s="2">
        <f t="shared" si="2"/>
        <v>-7.794175894</v>
      </c>
      <c r="E38" s="2">
        <f t="shared" si="3"/>
        <v>60.74917787</v>
      </c>
    </row>
    <row r="39" ht="15.75" customHeight="1">
      <c r="A39" s="2">
        <v>186.0</v>
      </c>
      <c r="B39" s="2">
        <v>3100.0</v>
      </c>
      <c r="C39" s="2">
        <f t="shared" si="1"/>
        <v>3456.414782</v>
      </c>
      <c r="D39" s="2">
        <f t="shared" si="2"/>
        <v>-356.4147824</v>
      </c>
      <c r="E39" s="2">
        <f t="shared" si="3"/>
        <v>127031.4971</v>
      </c>
    </row>
    <row r="40" ht="15.75" customHeight="1">
      <c r="A40" s="2">
        <v>196.0</v>
      </c>
      <c r="B40" s="2">
        <v>4400.0</v>
      </c>
      <c r="C40" s="2">
        <f t="shared" si="1"/>
        <v>3957.947442</v>
      </c>
      <c r="D40" s="2">
        <f t="shared" si="2"/>
        <v>442.0525582</v>
      </c>
      <c r="E40" s="2">
        <f t="shared" si="3"/>
        <v>195410.4642</v>
      </c>
    </row>
    <row r="41" ht="15.75" customHeight="1">
      <c r="A41" s="2">
        <v>185.0</v>
      </c>
      <c r="B41" s="2">
        <v>3000.0</v>
      </c>
      <c r="C41" s="2">
        <f t="shared" si="1"/>
        <v>3406.261516</v>
      </c>
      <c r="D41" s="2">
        <f t="shared" si="2"/>
        <v>-406.2615165</v>
      </c>
      <c r="E41" s="2">
        <f t="shared" si="3"/>
        <v>165048.4198</v>
      </c>
    </row>
    <row r="42" ht="15.75" customHeight="1">
      <c r="A42" s="2">
        <v>190.0</v>
      </c>
      <c r="B42" s="2">
        <v>4600.0</v>
      </c>
      <c r="C42" s="2">
        <f t="shared" si="1"/>
        <v>3657.027846</v>
      </c>
      <c r="D42" s="2">
        <f t="shared" si="2"/>
        <v>942.9721538</v>
      </c>
      <c r="E42" s="2">
        <f t="shared" si="3"/>
        <v>889196.4829</v>
      </c>
    </row>
    <row r="43" ht="15.75" customHeight="1">
      <c r="A43" s="2">
        <v>182.0</v>
      </c>
      <c r="B43" s="2">
        <v>3425.0</v>
      </c>
      <c r="C43" s="2">
        <f t="shared" si="1"/>
        <v>3255.801719</v>
      </c>
      <c r="D43" s="2">
        <f t="shared" si="2"/>
        <v>169.1982814</v>
      </c>
      <c r="E43" s="2">
        <f t="shared" si="3"/>
        <v>28628.05841</v>
      </c>
    </row>
    <row r="44" ht="15.75" customHeight="1">
      <c r="A44" s="2">
        <v>190.0</v>
      </c>
      <c r="B44" s="2">
        <v>3450.0</v>
      </c>
      <c r="C44" s="2">
        <f t="shared" si="1"/>
        <v>3657.027846</v>
      </c>
      <c r="D44" s="2">
        <f t="shared" si="2"/>
        <v>-207.0278462</v>
      </c>
      <c r="E44" s="2">
        <f t="shared" si="3"/>
        <v>42860.5291</v>
      </c>
    </row>
    <row r="45" ht="15.75" customHeight="1">
      <c r="A45" s="2">
        <v>191.0</v>
      </c>
      <c r="B45" s="2">
        <v>4150.0</v>
      </c>
      <c r="C45" s="2">
        <f t="shared" si="1"/>
        <v>3707.181112</v>
      </c>
      <c r="D45" s="2">
        <f t="shared" si="2"/>
        <v>442.8188879</v>
      </c>
      <c r="E45" s="2">
        <f t="shared" si="3"/>
        <v>196088.5675</v>
      </c>
    </row>
    <row r="46" ht="15.75" customHeight="1">
      <c r="A46" s="2">
        <v>186.0</v>
      </c>
      <c r="B46" s="2">
        <v>3500.0</v>
      </c>
      <c r="C46" s="2">
        <f t="shared" si="1"/>
        <v>3456.414782</v>
      </c>
      <c r="D46" s="2">
        <f t="shared" si="2"/>
        <v>43.58521759</v>
      </c>
      <c r="E46" s="2">
        <f t="shared" si="3"/>
        <v>1899.671192</v>
      </c>
    </row>
    <row r="47" ht="15.75" customHeight="1">
      <c r="A47" s="2">
        <v>188.0</v>
      </c>
      <c r="B47" s="2">
        <v>4300.0</v>
      </c>
      <c r="C47" s="2">
        <f t="shared" si="1"/>
        <v>3556.721314</v>
      </c>
      <c r="D47" s="2">
        <f t="shared" si="2"/>
        <v>743.2786857</v>
      </c>
      <c r="E47" s="2">
        <f t="shared" si="3"/>
        <v>552463.2046</v>
      </c>
    </row>
    <row r="48" ht="15.75" customHeight="1">
      <c r="A48" s="2">
        <v>190.0</v>
      </c>
      <c r="B48" s="2">
        <v>3450.0</v>
      </c>
      <c r="C48" s="2">
        <f t="shared" si="1"/>
        <v>3657.027846</v>
      </c>
      <c r="D48" s="2">
        <f t="shared" si="2"/>
        <v>-207.0278462</v>
      </c>
      <c r="E48" s="2">
        <f t="shared" si="3"/>
        <v>42860.5291</v>
      </c>
    </row>
    <row r="49" ht="15.75" customHeight="1">
      <c r="A49" s="2">
        <v>200.0</v>
      </c>
      <c r="B49" s="2">
        <v>4050.0</v>
      </c>
      <c r="C49" s="2">
        <f t="shared" si="1"/>
        <v>4158.560506</v>
      </c>
      <c r="D49" s="2">
        <f t="shared" si="2"/>
        <v>-108.5605056</v>
      </c>
      <c r="E49" s="2">
        <f t="shared" si="3"/>
        <v>11785.38338</v>
      </c>
    </row>
    <row r="50" ht="15.75" customHeight="1">
      <c r="A50" s="2">
        <v>187.0</v>
      </c>
      <c r="B50" s="2">
        <v>2900.0</v>
      </c>
      <c r="C50" s="2">
        <f t="shared" si="1"/>
        <v>3506.568048</v>
      </c>
      <c r="D50" s="2">
        <f t="shared" si="2"/>
        <v>-606.5680484</v>
      </c>
      <c r="E50" s="2">
        <f t="shared" si="3"/>
        <v>367924.7973</v>
      </c>
    </row>
    <row r="51" ht="15.75" customHeight="1">
      <c r="A51" s="2">
        <v>191.0</v>
      </c>
      <c r="B51" s="2">
        <v>3700.0</v>
      </c>
      <c r="C51" s="2">
        <f t="shared" si="1"/>
        <v>3707.181112</v>
      </c>
      <c r="D51" s="2">
        <f t="shared" si="2"/>
        <v>-7.181112125</v>
      </c>
      <c r="E51" s="2">
        <f t="shared" si="3"/>
        <v>51.56837136</v>
      </c>
    </row>
    <row r="52" ht="15.75" customHeight="1">
      <c r="A52" s="2">
        <v>186.0</v>
      </c>
      <c r="B52" s="2">
        <v>3550.0</v>
      </c>
      <c r="C52" s="2">
        <f t="shared" si="1"/>
        <v>3456.414782</v>
      </c>
      <c r="D52" s="2">
        <f t="shared" si="2"/>
        <v>93.58521759</v>
      </c>
      <c r="E52" s="2">
        <f t="shared" si="3"/>
        <v>8758.192951</v>
      </c>
    </row>
    <row r="53" ht="15.75" customHeight="1">
      <c r="A53" s="2">
        <v>193.0</v>
      </c>
      <c r="B53" s="2">
        <v>3800.0</v>
      </c>
      <c r="C53" s="2">
        <f t="shared" si="1"/>
        <v>3807.487644</v>
      </c>
      <c r="D53" s="2">
        <f t="shared" si="2"/>
        <v>-7.48764401</v>
      </c>
      <c r="E53" s="2">
        <f t="shared" si="3"/>
        <v>56.06481282</v>
      </c>
    </row>
    <row r="54" ht="15.75" customHeight="1">
      <c r="A54" s="2">
        <v>181.0</v>
      </c>
      <c r="B54" s="2">
        <v>2850.0</v>
      </c>
      <c r="C54" s="2">
        <f t="shared" si="1"/>
        <v>3205.648453</v>
      </c>
      <c r="D54" s="2">
        <f t="shared" si="2"/>
        <v>-355.6484527</v>
      </c>
      <c r="E54" s="2">
        <f t="shared" si="3"/>
        <v>126485.8219</v>
      </c>
    </row>
    <row r="55" ht="15.75" customHeight="1">
      <c r="A55" s="2">
        <v>194.0</v>
      </c>
      <c r="B55" s="2">
        <v>3750.0</v>
      </c>
      <c r="C55" s="2">
        <f t="shared" si="1"/>
        <v>3857.64091</v>
      </c>
      <c r="D55" s="2">
        <f t="shared" si="2"/>
        <v>-107.64091</v>
      </c>
      <c r="E55" s="2">
        <f t="shared" si="3"/>
        <v>11586.5655</v>
      </c>
    </row>
    <row r="56" ht="15.75" customHeight="1">
      <c r="A56" s="2">
        <v>185.0</v>
      </c>
      <c r="B56" s="2">
        <v>3150.0</v>
      </c>
      <c r="C56" s="2">
        <f t="shared" si="1"/>
        <v>3406.261516</v>
      </c>
      <c r="D56" s="2">
        <f t="shared" si="2"/>
        <v>-256.2615165</v>
      </c>
      <c r="E56" s="2">
        <f t="shared" si="3"/>
        <v>65669.96482</v>
      </c>
    </row>
    <row r="57" ht="15.75" customHeight="1">
      <c r="A57" s="2">
        <v>195.0</v>
      </c>
      <c r="B57" s="2">
        <v>4400.0</v>
      </c>
      <c r="C57" s="2">
        <f t="shared" si="1"/>
        <v>3907.794176</v>
      </c>
      <c r="D57" s="2">
        <f t="shared" si="2"/>
        <v>492.2058241</v>
      </c>
      <c r="E57" s="2">
        <f t="shared" si="3"/>
        <v>242266.5733</v>
      </c>
    </row>
    <row r="58" ht="15.75" customHeight="1">
      <c r="A58" s="2">
        <v>185.0</v>
      </c>
      <c r="B58" s="2">
        <v>3600.0</v>
      </c>
      <c r="C58" s="2">
        <f t="shared" si="1"/>
        <v>3406.261516</v>
      </c>
      <c r="D58" s="2">
        <f t="shared" si="2"/>
        <v>193.7384835</v>
      </c>
      <c r="E58" s="2">
        <f t="shared" si="3"/>
        <v>37534.6</v>
      </c>
    </row>
    <row r="59" ht="15.75" customHeight="1">
      <c r="A59" s="2">
        <v>192.0</v>
      </c>
      <c r="B59" s="2">
        <v>4050.0</v>
      </c>
      <c r="C59" s="2">
        <f t="shared" si="1"/>
        <v>3757.334378</v>
      </c>
      <c r="D59" s="2">
        <f t="shared" si="2"/>
        <v>292.6656219</v>
      </c>
      <c r="E59" s="2">
        <f t="shared" si="3"/>
        <v>85653.16626</v>
      </c>
    </row>
    <row r="60" ht="15.75" customHeight="1">
      <c r="A60" s="2">
        <v>184.0</v>
      </c>
      <c r="B60" s="2">
        <v>2850.0</v>
      </c>
      <c r="C60" s="2">
        <f t="shared" si="1"/>
        <v>3356.108251</v>
      </c>
      <c r="D60" s="2">
        <f t="shared" si="2"/>
        <v>-506.1082505</v>
      </c>
      <c r="E60" s="2">
        <f t="shared" si="3"/>
        <v>256145.5613</v>
      </c>
    </row>
    <row r="61" ht="15.75" customHeight="1">
      <c r="A61" s="2">
        <v>192.0</v>
      </c>
      <c r="B61" s="2">
        <v>3950.0</v>
      </c>
      <c r="C61" s="2">
        <f t="shared" si="1"/>
        <v>3757.334378</v>
      </c>
      <c r="D61" s="2">
        <f t="shared" si="2"/>
        <v>192.6656219</v>
      </c>
      <c r="E61" s="2">
        <f t="shared" si="3"/>
        <v>37120.04187</v>
      </c>
    </row>
    <row r="62" ht="15.75" customHeight="1">
      <c r="A62" s="2">
        <v>195.0</v>
      </c>
      <c r="B62" s="2">
        <v>3350.0</v>
      </c>
      <c r="C62" s="2">
        <f t="shared" si="1"/>
        <v>3907.794176</v>
      </c>
      <c r="D62" s="2">
        <f t="shared" si="2"/>
        <v>-557.7941759</v>
      </c>
      <c r="E62" s="2">
        <f t="shared" si="3"/>
        <v>311134.3427</v>
      </c>
    </row>
    <row r="63" ht="15.75" customHeight="1">
      <c r="A63" s="2">
        <v>188.0</v>
      </c>
      <c r="B63" s="2">
        <v>4100.0</v>
      </c>
      <c r="C63" s="2">
        <f t="shared" si="1"/>
        <v>3556.721314</v>
      </c>
      <c r="D63" s="2">
        <f t="shared" si="2"/>
        <v>543.2786857</v>
      </c>
      <c r="E63" s="2">
        <f t="shared" si="3"/>
        <v>295151.7303</v>
      </c>
    </row>
    <row r="64" ht="15.75" customHeight="1">
      <c r="A64" s="2">
        <v>190.0</v>
      </c>
      <c r="B64" s="2">
        <v>3050.0</v>
      </c>
      <c r="C64" s="2">
        <f t="shared" si="1"/>
        <v>3657.027846</v>
      </c>
      <c r="D64" s="2">
        <f t="shared" si="2"/>
        <v>-607.0278462</v>
      </c>
      <c r="E64" s="2">
        <f t="shared" si="3"/>
        <v>368482.806</v>
      </c>
    </row>
    <row r="65" ht="15.75" customHeight="1">
      <c r="A65" s="2">
        <v>198.0</v>
      </c>
      <c r="B65" s="2">
        <v>4450.0</v>
      </c>
      <c r="C65" s="2">
        <f t="shared" si="1"/>
        <v>4058.253974</v>
      </c>
      <c r="D65" s="2">
        <f t="shared" si="2"/>
        <v>391.7460263</v>
      </c>
      <c r="E65" s="2">
        <f t="shared" si="3"/>
        <v>153464.9491</v>
      </c>
    </row>
    <row r="66" ht="15.75" customHeight="1">
      <c r="A66" s="2">
        <v>190.0</v>
      </c>
      <c r="B66" s="2">
        <v>3600.0</v>
      </c>
      <c r="C66" s="2">
        <f t="shared" si="1"/>
        <v>3657.027846</v>
      </c>
      <c r="D66" s="2">
        <f t="shared" si="2"/>
        <v>-57.02784618</v>
      </c>
      <c r="E66" s="2">
        <f t="shared" si="3"/>
        <v>3252.17524</v>
      </c>
    </row>
    <row r="67" ht="15.75" customHeight="1">
      <c r="A67" s="2">
        <v>190.0</v>
      </c>
      <c r="B67" s="2">
        <v>3900.0</v>
      </c>
      <c r="C67" s="2">
        <f t="shared" si="1"/>
        <v>3657.027846</v>
      </c>
      <c r="D67" s="2">
        <f t="shared" si="2"/>
        <v>242.9721538</v>
      </c>
      <c r="E67" s="2">
        <f t="shared" si="3"/>
        <v>59035.46753</v>
      </c>
    </row>
    <row r="68" ht="15.75" customHeight="1">
      <c r="A68" s="2">
        <v>196.0</v>
      </c>
      <c r="B68" s="2">
        <v>3550.0</v>
      </c>
      <c r="C68" s="2">
        <f t="shared" si="1"/>
        <v>3957.947442</v>
      </c>
      <c r="D68" s="2">
        <f t="shared" si="2"/>
        <v>-407.9474418</v>
      </c>
      <c r="E68" s="2">
        <f t="shared" si="3"/>
        <v>166421.1153</v>
      </c>
    </row>
    <row r="69" ht="15.75" customHeight="1">
      <c r="A69" s="2">
        <v>197.0</v>
      </c>
      <c r="B69" s="2">
        <v>4150.0</v>
      </c>
      <c r="C69" s="2">
        <f t="shared" si="1"/>
        <v>4008.100708</v>
      </c>
      <c r="D69" s="2">
        <f t="shared" si="2"/>
        <v>141.8992922</v>
      </c>
      <c r="E69" s="2">
        <f t="shared" si="3"/>
        <v>20135.40913</v>
      </c>
    </row>
    <row r="70" ht="15.75" customHeight="1">
      <c r="A70" s="2">
        <v>190.0</v>
      </c>
      <c r="B70" s="2">
        <v>3700.0</v>
      </c>
      <c r="C70" s="2">
        <f t="shared" si="1"/>
        <v>3657.027846</v>
      </c>
      <c r="D70" s="2">
        <f t="shared" si="2"/>
        <v>42.97215382</v>
      </c>
      <c r="E70" s="2">
        <f t="shared" si="3"/>
        <v>1846.606004</v>
      </c>
    </row>
    <row r="71" ht="15.75" customHeight="1">
      <c r="A71" s="2">
        <v>195.0</v>
      </c>
      <c r="B71" s="2">
        <v>4250.0</v>
      </c>
      <c r="C71" s="2">
        <f t="shared" si="1"/>
        <v>3907.794176</v>
      </c>
      <c r="D71" s="2">
        <f t="shared" si="2"/>
        <v>342.2058241</v>
      </c>
      <c r="E71" s="2">
        <f t="shared" si="3"/>
        <v>117104.8261</v>
      </c>
    </row>
    <row r="72" ht="15.75" customHeight="1">
      <c r="A72" s="2">
        <v>191.0</v>
      </c>
      <c r="B72" s="2">
        <v>3700.0</v>
      </c>
      <c r="C72" s="2">
        <f t="shared" si="1"/>
        <v>3707.181112</v>
      </c>
      <c r="D72" s="2">
        <f t="shared" si="2"/>
        <v>-7.181112125</v>
      </c>
      <c r="E72" s="2">
        <f t="shared" si="3"/>
        <v>51.56837136</v>
      </c>
    </row>
    <row r="73" ht="15.75" customHeight="1">
      <c r="A73" s="2">
        <v>184.0</v>
      </c>
      <c r="B73" s="2">
        <v>3900.0</v>
      </c>
      <c r="C73" s="2">
        <f t="shared" si="1"/>
        <v>3356.108251</v>
      </c>
      <c r="D73" s="2">
        <f t="shared" si="2"/>
        <v>543.8917495</v>
      </c>
      <c r="E73" s="2">
        <f t="shared" si="3"/>
        <v>295818.2351</v>
      </c>
    </row>
    <row r="74" ht="15.75" customHeight="1">
      <c r="A74" s="2">
        <v>187.0</v>
      </c>
      <c r="B74" s="2">
        <v>3550.0</v>
      </c>
      <c r="C74" s="2">
        <f t="shared" si="1"/>
        <v>3506.568048</v>
      </c>
      <c r="D74" s="2">
        <f t="shared" si="2"/>
        <v>43.43195164</v>
      </c>
      <c r="E74" s="2">
        <f t="shared" si="3"/>
        <v>1886.334424</v>
      </c>
    </row>
    <row r="75" ht="15.75" customHeight="1">
      <c r="A75" s="2">
        <v>195.0</v>
      </c>
      <c r="B75" s="2">
        <v>4000.0</v>
      </c>
      <c r="C75" s="2">
        <f t="shared" si="1"/>
        <v>3907.794176</v>
      </c>
      <c r="D75" s="2">
        <f t="shared" si="2"/>
        <v>92.20582411</v>
      </c>
      <c r="E75" s="2">
        <f t="shared" si="3"/>
        <v>8501.913999</v>
      </c>
    </row>
    <row r="76" ht="15.75" customHeight="1">
      <c r="A76" s="2">
        <v>189.0</v>
      </c>
      <c r="B76" s="2">
        <v>3200.0</v>
      </c>
      <c r="C76" s="2">
        <f t="shared" si="1"/>
        <v>3606.87458</v>
      </c>
      <c r="D76" s="2">
        <f t="shared" si="2"/>
        <v>-406.8745802</v>
      </c>
      <c r="E76" s="2">
        <f t="shared" si="3"/>
        <v>165546.924</v>
      </c>
    </row>
    <row r="77" ht="15.75" customHeight="1">
      <c r="A77" s="2">
        <v>196.0</v>
      </c>
      <c r="B77" s="2">
        <v>4700.0</v>
      </c>
      <c r="C77" s="2">
        <f t="shared" si="1"/>
        <v>3957.947442</v>
      </c>
      <c r="D77" s="2">
        <f t="shared" si="2"/>
        <v>742.0525582</v>
      </c>
      <c r="E77" s="2">
        <f t="shared" si="3"/>
        <v>550641.9991</v>
      </c>
    </row>
    <row r="78" ht="15.75" customHeight="1">
      <c r="A78" s="2">
        <v>187.0</v>
      </c>
      <c r="B78" s="2">
        <v>3800.0</v>
      </c>
      <c r="C78" s="2">
        <f t="shared" si="1"/>
        <v>3506.568048</v>
      </c>
      <c r="D78" s="2">
        <f t="shared" si="2"/>
        <v>293.4319516</v>
      </c>
      <c r="E78" s="2">
        <f t="shared" si="3"/>
        <v>86102.31025</v>
      </c>
    </row>
    <row r="79" ht="15.75" customHeight="1">
      <c r="A79" s="2">
        <v>193.0</v>
      </c>
      <c r="B79" s="2">
        <v>4200.0</v>
      </c>
      <c r="C79" s="2">
        <f t="shared" si="1"/>
        <v>3807.487644</v>
      </c>
      <c r="D79" s="2">
        <f t="shared" si="2"/>
        <v>392.512356</v>
      </c>
      <c r="E79" s="2">
        <f t="shared" si="3"/>
        <v>154065.9496</v>
      </c>
    </row>
    <row r="80" ht="15.75" customHeight="1">
      <c r="A80" s="2">
        <v>191.0</v>
      </c>
      <c r="B80" s="2">
        <v>3350.0</v>
      </c>
      <c r="C80" s="2">
        <f t="shared" si="1"/>
        <v>3707.181112</v>
      </c>
      <c r="D80" s="2">
        <f t="shared" si="2"/>
        <v>-357.1811121</v>
      </c>
      <c r="E80" s="2">
        <f t="shared" si="3"/>
        <v>127578.3469</v>
      </c>
    </row>
    <row r="81" ht="15.75" customHeight="1">
      <c r="A81" s="2">
        <v>194.0</v>
      </c>
      <c r="B81" s="2">
        <v>3550.0</v>
      </c>
      <c r="C81" s="2">
        <f t="shared" si="1"/>
        <v>3857.64091</v>
      </c>
      <c r="D81" s="2">
        <f t="shared" si="2"/>
        <v>-307.64091</v>
      </c>
      <c r="E81" s="2">
        <f t="shared" si="3"/>
        <v>94642.92948</v>
      </c>
    </row>
    <row r="82" ht="15.75" customHeight="1">
      <c r="A82" s="2">
        <v>190.0</v>
      </c>
      <c r="B82" s="2">
        <v>3800.0</v>
      </c>
      <c r="C82" s="2">
        <f t="shared" si="1"/>
        <v>3657.027846</v>
      </c>
      <c r="D82" s="2">
        <f t="shared" si="2"/>
        <v>142.9721538</v>
      </c>
      <c r="E82" s="2">
        <f t="shared" si="3"/>
        <v>20441.03677</v>
      </c>
    </row>
    <row r="83" ht="15.75" customHeight="1">
      <c r="A83" s="2">
        <v>189.0</v>
      </c>
      <c r="B83" s="2">
        <v>3500.0</v>
      </c>
      <c r="C83" s="2">
        <f t="shared" si="1"/>
        <v>3606.87458</v>
      </c>
      <c r="D83" s="2">
        <f t="shared" si="2"/>
        <v>-106.8745802</v>
      </c>
      <c r="E83" s="2">
        <f t="shared" si="3"/>
        <v>11422.1759</v>
      </c>
    </row>
    <row r="84" ht="15.75" customHeight="1">
      <c r="A84" s="2">
        <v>189.0</v>
      </c>
      <c r="B84" s="2">
        <v>3950.0</v>
      </c>
      <c r="C84" s="2">
        <f t="shared" si="1"/>
        <v>3606.87458</v>
      </c>
      <c r="D84" s="2">
        <f t="shared" si="2"/>
        <v>343.1254198</v>
      </c>
      <c r="E84" s="2">
        <f t="shared" si="3"/>
        <v>117735.0537</v>
      </c>
    </row>
    <row r="85" ht="15.75" customHeight="1">
      <c r="A85" s="2">
        <v>190.0</v>
      </c>
      <c r="B85" s="2">
        <v>3600.0</v>
      </c>
      <c r="C85" s="2">
        <f t="shared" si="1"/>
        <v>3657.027846</v>
      </c>
      <c r="D85" s="2">
        <f t="shared" si="2"/>
        <v>-57.02784618</v>
      </c>
      <c r="E85" s="2">
        <f t="shared" si="3"/>
        <v>3252.17524</v>
      </c>
    </row>
    <row r="86" ht="15.75" customHeight="1">
      <c r="A86" s="2">
        <v>202.0</v>
      </c>
      <c r="B86" s="2">
        <v>3550.0</v>
      </c>
      <c r="C86" s="2">
        <f t="shared" si="1"/>
        <v>4258.867037</v>
      </c>
      <c r="D86" s="2">
        <f t="shared" si="2"/>
        <v>-708.8670375</v>
      </c>
      <c r="E86" s="2">
        <f t="shared" si="3"/>
        <v>502492.4768</v>
      </c>
    </row>
    <row r="87" ht="15.75" customHeight="1">
      <c r="A87" s="2">
        <v>205.0</v>
      </c>
      <c r="B87" s="2">
        <v>4300.0</v>
      </c>
      <c r="C87" s="2">
        <f t="shared" si="1"/>
        <v>4409.326835</v>
      </c>
      <c r="D87" s="2">
        <f t="shared" si="2"/>
        <v>-109.3268353</v>
      </c>
      <c r="E87" s="2">
        <f t="shared" si="3"/>
        <v>11952.35692</v>
      </c>
    </row>
    <row r="88" ht="15.75" customHeight="1">
      <c r="A88" s="2">
        <v>185.0</v>
      </c>
      <c r="B88" s="2">
        <v>3400.0</v>
      </c>
      <c r="C88" s="2">
        <f t="shared" si="1"/>
        <v>3406.261516</v>
      </c>
      <c r="D88" s="2">
        <f t="shared" si="2"/>
        <v>-6.261516472</v>
      </c>
      <c r="E88" s="2">
        <f t="shared" si="3"/>
        <v>39.20658853</v>
      </c>
    </row>
    <row r="89" ht="15.75" customHeight="1">
      <c r="A89" s="2">
        <v>186.0</v>
      </c>
      <c r="B89" s="2">
        <v>4450.0</v>
      </c>
      <c r="C89" s="2">
        <f t="shared" si="1"/>
        <v>3456.414782</v>
      </c>
      <c r="D89" s="2">
        <f t="shared" si="2"/>
        <v>993.5852176</v>
      </c>
      <c r="E89" s="2">
        <f t="shared" si="3"/>
        <v>987211.5846</v>
      </c>
    </row>
    <row r="90" ht="15.75" customHeight="1">
      <c r="A90" s="2">
        <v>187.0</v>
      </c>
      <c r="B90" s="2">
        <v>3300.0</v>
      </c>
      <c r="C90" s="2">
        <f t="shared" si="1"/>
        <v>3506.568048</v>
      </c>
      <c r="D90" s="2">
        <f t="shared" si="2"/>
        <v>-206.5680484</v>
      </c>
      <c r="E90" s="2">
        <f t="shared" si="3"/>
        <v>42670.3586</v>
      </c>
    </row>
    <row r="91" ht="15.75" customHeight="1">
      <c r="A91" s="2">
        <v>208.0</v>
      </c>
      <c r="B91" s="2">
        <v>4300.0</v>
      </c>
      <c r="C91" s="2">
        <f t="shared" si="1"/>
        <v>4559.786633</v>
      </c>
      <c r="D91" s="2">
        <f t="shared" si="2"/>
        <v>-259.7866331</v>
      </c>
      <c r="E91" s="2">
        <f t="shared" si="3"/>
        <v>67489.09476</v>
      </c>
    </row>
    <row r="92" ht="15.75" customHeight="1">
      <c r="A92" s="2">
        <v>190.0</v>
      </c>
      <c r="B92" s="2">
        <v>3700.0</v>
      </c>
      <c r="C92" s="2">
        <f t="shared" si="1"/>
        <v>3657.027846</v>
      </c>
      <c r="D92" s="2">
        <f t="shared" si="2"/>
        <v>42.97215382</v>
      </c>
      <c r="E92" s="2">
        <f t="shared" si="3"/>
        <v>1846.606004</v>
      </c>
    </row>
    <row r="93" ht="15.75" customHeight="1">
      <c r="A93" s="2">
        <v>196.0</v>
      </c>
      <c r="B93" s="2">
        <v>4350.0</v>
      </c>
      <c r="C93" s="2">
        <f t="shared" si="1"/>
        <v>3957.947442</v>
      </c>
      <c r="D93" s="2">
        <f t="shared" si="2"/>
        <v>392.0525582</v>
      </c>
      <c r="E93" s="2">
        <f t="shared" si="3"/>
        <v>153705.2084</v>
      </c>
    </row>
    <row r="94" ht="15.75" customHeight="1">
      <c r="A94" s="2">
        <v>178.0</v>
      </c>
      <c r="B94" s="2">
        <v>2900.0</v>
      </c>
      <c r="C94" s="2">
        <f t="shared" si="1"/>
        <v>3055.188655</v>
      </c>
      <c r="D94" s="2">
        <f t="shared" si="2"/>
        <v>-155.1886549</v>
      </c>
      <c r="E94" s="2">
        <f t="shared" si="3"/>
        <v>24083.5186</v>
      </c>
    </row>
    <row r="95" ht="15.75" customHeight="1">
      <c r="A95" s="2">
        <v>192.0</v>
      </c>
      <c r="B95" s="2">
        <v>4100.0</v>
      </c>
      <c r="C95" s="2">
        <f t="shared" si="1"/>
        <v>3757.334378</v>
      </c>
      <c r="D95" s="2">
        <f t="shared" si="2"/>
        <v>342.6656219</v>
      </c>
      <c r="E95" s="2">
        <f t="shared" si="3"/>
        <v>117419.7285</v>
      </c>
    </row>
    <row r="96" ht="15.75" customHeight="1">
      <c r="A96" s="2">
        <v>192.0</v>
      </c>
      <c r="B96" s="2">
        <v>3725.0</v>
      </c>
      <c r="C96" s="2">
        <f t="shared" si="1"/>
        <v>3757.334378</v>
      </c>
      <c r="D96" s="2">
        <f t="shared" si="2"/>
        <v>-32.33437807</v>
      </c>
      <c r="E96" s="2">
        <f t="shared" si="3"/>
        <v>1045.512005</v>
      </c>
    </row>
    <row r="97" ht="15.75" customHeight="1">
      <c r="A97" s="2">
        <v>203.0</v>
      </c>
      <c r="B97" s="2">
        <v>4725.0</v>
      </c>
      <c r="C97" s="2">
        <f t="shared" si="1"/>
        <v>4309.020303</v>
      </c>
      <c r="D97" s="2">
        <f t="shared" si="2"/>
        <v>415.9796966</v>
      </c>
      <c r="E97" s="2">
        <f t="shared" si="3"/>
        <v>173039.108</v>
      </c>
    </row>
    <row r="98" ht="15.75" customHeight="1">
      <c r="A98" s="2">
        <v>183.0</v>
      </c>
      <c r="B98" s="2">
        <v>3075.0</v>
      </c>
      <c r="C98" s="2">
        <f t="shared" si="1"/>
        <v>3305.954985</v>
      </c>
      <c r="D98" s="2">
        <f t="shared" si="2"/>
        <v>-230.9549846</v>
      </c>
      <c r="E98" s="2">
        <f t="shared" si="3"/>
        <v>53340.20491</v>
      </c>
    </row>
    <row r="99" ht="15.75" customHeight="1">
      <c r="A99" s="2">
        <v>190.0</v>
      </c>
      <c r="B99" s="2">
        <v>4250.0</v>
      </c>
      <c r="C99" s="2">
        <f t="shared" si="1"/>
        <v>3657.027846</v>
      </c>
      <c r="D99" s="2">
        <f t="shared" si="2"/>
        <v>592.9721538</v>
      </c>
      <c r="E99" s="2">
        <f t="shared" si="3"/>
        <v>351615.9752</v>
      </c>
    </row>
    <row r="100" ht="15.75" customHeight="1">
      <c r="A100" s="2">
        <v>193.0</v>
      </c>
      <c r="B100" s="2">
        <v>2925.0</v>
      </c>
      <c r="C100" s="2">
        <f t="shared" si="1"/>
        <v>3807.487644</v>
      </c>
      <c r="D100" s="2">
        <f t="shared" si="2"/>
        <v>-882.487644</v>
      </c>
      <c r="E100" s="2">
        <f t="shared" si="3"/>
        <v>778784.4418</v>
      </c>
    </row>
    <row r="101" ht="15.75" customHeight="1">
      <c r="A101" s="2">
        <v>184.0</v>
      </c>
      <c r="B101" s="2">
        <v>3550.0</v>
      </c>
      <c r="C101" s="2">
        <f t="shared" si="1"/>
        <v>3356.108251</v>
      </c>
      <c r="D101" s="2">
        <f t="shared" si="2"/>
        <v>193.8917495</v>
      </c>
      <c r="E101" s="2">
        <f t="shared" si="3"/>
        <v>37594.01051</v>
      </c>
    </row>
    <row r="102" ht="15.75" customHeight="1">
      <c r="A102" s="2">
        <v>199.0</v>
      </c>
      <c r="B102" s="2">
        <v>3750.0</v>
      </c>
      <c r="C102" s="2">
        <f t="shared" si="1"/>
        <v>4108.40724</v>
      </c>
      <c r="D102" s="2">
        <f t="shared" si="2"/>
        <v>-358.4072397</v>
      </c>
      <c r="E102" s="2">
        <f t="shared" si="3"/>
        <v>128455.7494</v>
      </c>
    </row>
    <row r="103" ht="15.75" customHeight="1">
      <c r="A103" s="2">
        <v>190.0</v>
      </c>
      <c r="B103" s="2">
        <v>3900.0</v>
      </c>
      <c r="C103" s="2">
        <f t="shared" si="1"/>
        <v>3657.027846</v>
      </c>
      <c r="D103" s="2">
        <f t="shared" si="2"/>
        <v>242.9721538</v>
      </c>
      <c r="E103" s="2">
        <f t="shared" si="3"/>
        <v>59035.46753</v>
      </c>
    </row>
    <row r="104" ht="15.75" customHeight="1">
      <c r="A104" s="2">
        <v>181.0</v>
      </c>
      <c r="B104" s="2">
        <v>3175.0</v>
      </c>
      <c r="C104" s="2">
        <f t="shared" si="1"/>
        <v>3205.648453</v>
      </c>
      <c r="D104" s="2">
        <f t="shared" si="2"/>
        <v>-30.6484527</v>
      </c>
      <c r="E104" s="2">
        <f t="shared" si="3"/>
        <v>939.3276531</v>
      </c>
    </row>
    <row r="105" ht="15.75" customHeight="1">
      <c r="A105" s="2">
        <v>197.0</v>
      </c>
      <c r="B105" s="2">
        <v>4775.0</v>
      </c>
      <c r="C105" s="2">
        <f t="shared" si="1"/>
        <v>4008.100708</v>
      </c>
      <c r="D105" s="2">
        <f t="shared" si="2"/>
        <v>766.8992922</v>
      </c>
      <c r="E105" s="2">
        <f t="shared" si="3"/>
        <v>588134.5244</v>
      </c>
    </row>
    <row r="106" ht="15.75" customHeight="1">
      <c r="A106" s="2">
        <v>198.0</v>
      </c>
      <c r="B106" s="2">
        <v>3825.0</v>
      </c>
      <c r="C106" s="2">
        <f t="shared" si="1"/>
        <v>4058.253974</v>
      </c>
      <c r="D106" s="2">
        <f t="shared" si="2"/>
        <v>-233.2539737</v>
      </c>
      <c r="E106" s="2">
        <f t="shared" si="3"/>
        <v>54407.41626</v>
      </c>
    </row>
    <row r="107" ht="15.75" customHeight="1">
      <c r="A107" s="2">
        <v>191.0</v>
      </c>
      <c r="B107" s="2">
        <v>4600.0</v>
      </c>
      <c r="C107" s="2">
        <f t="shared" si="1"/>
        <v>3707.181112</v>
      </c>
      <c r="D107" s="2">
        <f t="shared" si="2"/>
        <v>892.8188879</v>
      </c>
      <c r="E107" s="2">
        <f t="shared" si="3"/>
        <v>797125.5665</v>
      </c>
    </row>
    <row r="108" ht="15.75" customHeight="1">
      <c r="A108" s="2">
        <v>193.0</v>
      </c>
      <c r="B108" s="2">
        <v>3200.0</v>
      </c>
      <c r="C108" s="2">
        <f t="shared" si="1"/>
        <v>3807.487644</v>
      </c>
      <c r="D108" s="2">
        <f t="shared" si="2"/>
        <v>-607.487644</v>
      </c>
      <c r="E108" s="2">
        <f t="shared" si="3"/>
        <v>369041.2376</v>
      </c>
    </row>
    <row r="109" ht="15.75" customHeight="1">
      <c r="A109" s="2">
        <v>197.0</v>
      </c>
      <c r="B109" s="2">
        <v>4275.0</v>
      </c>
      <c r="C109" s="2">
        <f t="shared" si="1"/>
        <v>4008.100708</v>
      </c>
      <c r="D109" s="2">
        <f t="shared" si="2"/>
        <v>266.8992922</v>
      </c>
      <c r="E109" s="2">
        <f t="shared" si="3"/>
        <v>71235.23219</v>
      </c>
    </row>
    <row r="110" ht="15.75" customHeight="1">
      <c r="A110" s="2">
        <v>191.0</v>
      </c>
      <c r="B110" s="2">
        <v>3900.0</v>
      </c>
      <c r="C110" s="2">
        <f t="shared" si="1"/>
        <v>3707.181112</v>
      </c>
      <c r="D110" s="2">
        <f t="shared" si="2"/>
        <v>192.8188879</v>
      </c>
      <c r="E110" s="2">
        <f t="shared" si="3"/>
        <v>37179.12352</v>
      </c>
    </row>
    <row r="111" ht="15.75" customHeight="1">
      <c r="A111" s="2">
        <v>196.0</v>
      </c>
      <c r="B111" s="2">
        <v>4075.0</v>
      </c>
      <c r="C111" s="2">
        <f t="shared" si="1"/>
        <v>3957.947442</v>
      </c>
      <c r="D111" s="2">
        <f t="shared" si="2"/>
        <v>117.0525582</v>
      </c>
      <c r="E111" s="2">
        <f t="shared" si="3"/>
        <v>13701.30137</v>
      </c>
    </row>
    <row r="112" ht="15.75" customHeight="1">
      <c r="A112" s="2">
        <v>188.0</v>
      </c>
      <c r="B112" s="2">
        <v>2900.0</v>
      </c>
      <c r="C112" s="2">
        <f t="shared" si="1"/>
        <v>3556.721314</v>
      </c>
      <c r="D112" s="2">
        <f t="shared" si="2"/>
        <v>-656.7213143</v>
      </c>
      <c r="E112" s="2">
        <f t="shared" si="3"/>
        <v>431282.8847</v>
      </c>
    </row>
    <row r="113" ht="15.75" customHeight="1">
      <c r="A113" s="2">
        <v>199.0</v>
      </c>
      <c r="B113" s="2">
        <v>3775.0</v>
      </c>
      <c r="C113" s="2">
        <f t="shared" si="1"/>
        <v>4108.40724</v>
      </c>
      <c r="D113" s="2">
        <f t="shared" si="2"/>
        <v>-333.4072397</v>
      </c>
      <c r="E113" s="2">
        <f t="shared" si="3"/>
        <v>111160.3875</v>
      </c>
    </row>
    <row r="114" ht="15.75" customHeight="1">
      <c r="A114" s="2">
        <v>189.0</v>
      </c>
      <c r="B114" s="2">
        <v>3350.0</v>
      </c>
      <c r="C114" s="2">
        <f t="shared" si="1"/>
        <v>3606.87458</v>
      </c>
      <c r="D114" s="2">
        <f t="shared" si="2"/>
        <v>-256.8745802</v>
      </c>
      <c r="E114" s="2">
        <f t="shared" si="3"/>
        <v>65984.54997</v>
      </c>
    </row>
    <row r="115" ht="15.75" customHeight="1">
      <c r="A115" s="2">
        <v>189.0</v>
      </c>
      <c r="B115" s="2">
        <v>3325.0</v>
      </c>
      <c r="C115" s="2">
        <f t="shared" si="1"/>
        <v>3606.87458</v>
      </c>
      <c r="D115" s="2">
        <f t="shared" si="2"/>
        <v>-281.8745802</v>
      </c>
      <c r="E115" s="2">
        <f t="shared" si="3"/>
        <v>79453.27899</v>
      </c>
    </row>
    <row r="116" ht="15.75" customHeight="1">
      <c r="A116" s="2">
        <v>187.0</v>
      </c>
      <c r="B116" s="2">
        <v>3150.0</v>
      </c>
      <c r="C116" s="2">
        <f t="shared" si="1"/>
        <v>3506.568048</v>
      </c>
      <c r="D116" s="2">
        <f t="shared" si="2"/>
        <v>-356.5680484</v>
      </c>
      <c r="E116" s="2">
        <f t="shared" si="3"/>
        <v>127140.7731</v>
      </c>
    </row>
    <row r="117" ht="15.75" customHeight="1">
      <c r="A117" s="2">
        <v>198.0</v>
      </c>
      <c r="B117" s="2">
        <v>3500.0</v>
      </c>
      <c r="C117" s="2">
        <f t="shared" si="1"/>
        <v>4058.253974</v>
      </c>
      <c r="D117" s="2">
        <f t="shared" si="2"/>
        <v>-558.2539737</v>
      </c>
      <c r="E117" s="2">
        <f t="shared" si="3"/>
        <v>311647.4992</v>
      </c>
    </row>
    <row r="118" ht="15.75" customHeight="1">
      <c r="A118" s="2">
        <v>176.0</v>
      </c>
      <c r="B118" s="2">
        <v>3450.0</v>
      </c>
      <c r="C118" s="2">
        <f t="shared" si="1"/>
        <v>2954.882123</v>
      </c>
      <c r="D118" s="2">
        <f t="shared" si="2"/>
        <v>495.117877</v>
      </c>
      <c r="E118" s="2">
        <f t="shared" si="3"/>
        <v>245141.7121</v>
      </c>
    </row>
    <row r="119" ht="15.75" customHeight="1">
      <c r="A119" s="2">
        <v>202.0</v>
      </c>
      <c r="B119" s="2">
        <v>3875.0</v>
      </c>
      <c r="C119" s="2">
        <f t="shared" si="1"/>
        <v>4258.867037</v>
      </c>
      <c r="D119" s="2">
        <f t="shared" si="2"/>
        <v>-383.8670375</v>
      </c>
      <c r="E119" s="2">
        <f t="shared" si="3"/>
        <v>147353.9025</v>
      </c>
    </row>
    <row r="120" ht="15.75" customHeight="1">
      <c r="A120" s="2">
        <v>186.0</v>
      </c>
      <c r="B120" s="2">
        <v>3050.0</v>
      </c>
      <c r="C120" s="2">
        <f t="shared" si="1"/>
        <v>3456.414782</v>
      </c>
      <c r="D120" s="2">
        <f t="shared" si="2"/>
        <v>-406.4147824</v>
      </c>
      <c r="E120" s="2">
        <f t="shared" si="3"/>
        <v>165172.9754</v>
      </c>
    </row>
    <row r="121" ht="15.75" customHeight="1">
      <c r="A121" s="2">
        <v>199.0</v>
      </c>
      <c r="B121" s="2">
        <v>4000.0</v>
      </c>
      <c r="C121" s="2">
        <f t="shared" si="1"/>
        <v>4108.40724</v>
      </c>
      <c r="D121" s="2">
        <f t="shared" si="2"/>
        <v>-108.4072397</v>
      </c>
      <c r="E121" s="2">
        <f t="shared" si="3"/>
        <v>11752.12961</v>
      </c>
    </row>
    <row r="122" ht="15.75" customHeight="1">
      <c r="A122" s="2">
        <v>191.0</v>
      </c>
      <c r="B122" s="2">
        <v>3275.0</v>
      </c>
      <c r="C122" s="2">
        <f t="shared" si="1"/>
        <v>3707.181112</v>
      </c>
      <c r="D122" s="2">
        <f t="shared" si="2"/>
        <v>-432.1811121</v>
      </c>
      <c r="E122" s="2">
        <f t="shared" si="3"/>
        <v>186780.5137</v>
      </c>
    </row>
    <row r="123" ht="15.75" customHeight="1">
      <c r="A123" s="2">
        <v>195.0</v>
      </c>
      <c r="B123" s="2">
        <v>4300.0</v>
      </c>
      <c r="C123" s="2">
        <f t="shared" si="1"/>
        <v>3907.794176</v>
      </c>
      <c r="D123" s="2">
        <f t="shared" si="2"/>
        <v>392.2058241</v>
      </c>
      <c r="E123" s="2">
        <f t="shared" si="3"/>
        <v>153825.4085</v>
      </c>
    </row>
    <row r="124" ht="15.75" customHeight="1">
      <c r="A124" s="2">
        <v>191.0</v>
      </c>
      <c r="B124" s="2">
        <v>3050.0</v>
      </c>
      <c r="C124" s="2">
        <f t="shared" si="1"/>
        <v>3707.181112</v>
      </c>
      <c r="D124" s="2">
        <f t="shared" si="2"/>
        <v>-657.1811121</v>
      </c>
      <c r="E124" s="2">
        <f t="shared" si="3"/>
        <v>431887.0141</v>
      </c>
    </row>
    <row r="125" ht="15.75" customHeight="1">
      <c r="A125" s="2">
        <v>210.0</v>
      </c>
      <c r="B125" s="2">
        <v>4000.0</v>
      </c>
      <c r="C125" s="2">
        <f t="shared" si="1"/>
        <v>4660.093165</v>
      </c>
      <c r="D125" s="2">
        <f t="shared" si="2"/>
        <v>-660.093165</v>
      </c>
      <c r="E125" s="2">
        <f t="shared" si="3"/>
        <v>435722.9865</v>
      </c>
    </row>
    <row r="126" ht="15.75" customHeight="1">
      <c r="A126" s="2">
        <v>190.0</v>
      </c>
      <c r="B126" s="2">
        <v>3325.0</v>
      </c>
      <c r="C126" s="2">
        <f t="shared" si="1"/>
        <v>3657.027846</v>
      </c>
      <c r="D126" s="2">
        <f t="shared" si="2"/>
        <v>-332.0278462</v>
      </c>
      <c r="E126" s="2">
        <f t="shared" si="3"/>
        <v>110242.4906</v>
      </c>
    </row>
    <row r="127" ht="15.75" customHeight="1">
      <c r="A127" s="2">
        <v>197.0</v>
      </c>
      <c r="B127" s="2">
        <v>3500.0</v>
      </c>
      <c r="C127" s="2">
        <f t="shared" si="1"/>
        <v>4008.100708</v>
      </c>
      <c r="D127" s="2">
        <f t="shared" si="2"/>
        <v>-508.1007078</v>
      </c>
      <c r="E127" s="2">
        <f t="shared" si="3"/>
        <v>258166.3292</v>
      </c>
    </row>
    <row r="128" ht="15.75" customHeight="1">
      <c r="A128" s="2">
        <v>193.0</v>
      </c>
      <c r="B128" s="2">
        <v>3500.0</v>
      </c>
      <c r="C128" s="2">
        <f t="shared" si="1"/>
        <v>3807.487644</v>
      </c>
      <c r="D128" s="2">
        <f t="shared" si="2"/>
        <v>-307.487644</v>
      </c>
      <c r="E128" s="2">
        <f t="shared" si="3"/>
        <v>94548.65122</v>
      </c>
    </row>
    <row r="129" ht="15.75" customHeight="1">
      <c r="A129" s="2">
        <v>199.0</v>
      </c>
      <c r="B129" s="2">
        <v>4475.0</v>
      </c>
      <c r="C129" s="2">
        <f t="shared" si="1"/>
        <v>4108.40724</v>
      </c>
      <c r="D129" s="2">
        <f t="shared" si="2"/>
        <v>366.5927603</v>
      </c>
      <c r="E129" s="2">
        <f t="shared" si="3"/>
        <v>134390.2519</v>
      </c>
    </row>
    <row r="130" ht="15.75" customHeight="1">
      <c r="A130" s="2">
        <v>187.0</v>
      </c>
      <c r="B130" s="2">
        <v>3425.0</v>
      </c>
      <c r="C130" s="2">
        <f t="shared" si="1"/>
        <v>3506.568048</v>
      </c>
      <c r="D130" s="2">
        <f t="shared" si="2"/>
        <v>-81.56804836</v>
      </c>
      <c r="E130" s="2">
        <f t="shared" si="3"/>
        <v>6653.346513</v>
      </c>
    </row>
    <row r="131" ht="15.75" customHeight="1">
      <c r="A131" s="2">
        <v>190.0</v>
      </c>
      <c r="B131" s="2">
        <v>3900.0</v>
      </c>
      <c r="C131" s="2">
        <f t="shared" si="1"/>
        <v>3657.027846</v>
      </c>
      <c r="D131" s="2">
        <f t="shared" si="2"/>
        <v>242.9721538</v>
      </c>
      <c r="E131" s="2">
        <f t="shared" si="3"/>
        <v>59035.46753</v>
      </c>
    </row>
    <row r="132" ht="15.75" customHeight="1">
      <c r="A132" s="2">
        <v>191.0</v>
      </c>
      <c r="B132" s="2">
        <v>3175.0</v>
      </c>
      <c r="C132" s="2">
        <f t="shared" si="1"/>
        <v>3707.181112</v>
      </c>
      <c r="D132" s="2">
        <f t="shared" si="2"/>
        <v>-532.1811121</v>
      </c>
      <c r="E132" s="2">
        <f t="shared" si="3"/>
        <v>283216.7361</v>
      </c>
    </row>
    <row r="133" ht="15.75" customHeight="1">
      <c r="A133" s="2">
        <v>200.0</v>
      </c>
      <c r="B133" s="2">
        <v>3975.0</v>
      </c>
      <c r="C133" s="2">
        <f t="shared" si="1"/>
        <v>4158.560506</v>
      </c>
      <c r="D133" s="2">
        <f t="shared" si="2"/>
        <v>-183.5605056</v>
      </c>
      <c r="E133" s="2">
        <f t="shared" si="3"/>
        <v>33694.45922</v>
      </c>
    </row>
    <row r="134" ht="15.75" customHeight="1">
      <c r="A134" s="2">
        <v>185.0</v>
      </c>
      <c r="B134" s="2">
        <v>3400.0</v>
      </c>
      <c r="C134" s="2">
        <f t="shared" si="1"/>
        <v>3406.261516</v>
      </c>
      <c r="D134" s="2">
        <f t="shared" si="2"/>
        <v>-6.261516472</v>
      </c>
      <c r="E134" s="2">
        <f t="shared" si="3"/>
        <v>39.20658853</v>
      </c>
    </row>
    <row r="135" ht="15.75" customHeight="1">
      <c r="A135" s="2">
        <v>193.0</v>
      </c>
      <c r="B135" s="2">
        <v>4250.0</v>
      </c>
      <c r="C135" s="2">
        <f t="shared" si="1"/>
        <v>3807.487644</v>
      </c>
      <c r="D135" s="2">
        <f t="shared" si="2"/>
        <v>442.512356</v>
      </c>
      <c r="E135" s="2">
        <f t="shared" si="3"/>
        <v>195817.1852</v>
      </c>
    </row>
    <row r="136" ht="15.75" customHeight="1">
      <c r="A136" s="2">
        <v>193.0</v>
      </c>
      <c r="B136" s="2">
        <v>3400.0</v>
      </c>
      <c r="C136" s="2">
        <f t="shared" si="1"/>
        <v>3807.487644</v>
      </c>
      <c r="D136" s="2">
        <f t="shared" si="2"/>
        <v>-407.487644</v>
      </c>
      <c r="E136" s="2">
        <f t="shared" si="3"/>
        <v>166046.18</v>
      </c>
    </row>
    <row r="137" ht="15.75" customHeight="1">
      <c r="A137" s="2">
        <v>187.0</v>
      </c>
      <c r="B137" s="2">
        <v>3475.0</v>
      </c>
      <c r="C137" s="2">
        <f t="shared" si="1"/>
        <v>3506.568048</v>
      </c>
      <c r="D137" s="2">
        <f t="shared" si="2"/>
        <v>-31.56804836</v>
      </c>
      <c r="E137" s="2">
        <f t="shared" si="3"/>
        <v>996.541677</v>
      </c>
    </row>
    <row r="138" ht="15.75" customHeight="1">
      <c r="A138" s="2">
        <v>188.0</v>
      </c>
      <c r="B138" s="2">
        <v>3050.0</v>
      </c>
      <c r="C138" s="2">
        <f t="shared" si="1"/>
        <v>3556.721314</v>
      </c>
      <c r="D138" s="2">
        <f t="shared" si="2"/>
        <v>-506.7213143</v>
      </c>
      <c r="E138" s="2">
        <f t="shared" si="3"/>
        <v>256766.4904</v>
      </c>
    </row>
    <row r="139" ht="15.75" customHeight="1">
      <c r="A139" s="2">
        <v>190.0</v>
      </c>
      <c r="B139" s="2">
        <v>3725.0</v>
      </c>
      <c r="C139" s="2">
        <f t="shared" si="1"/>
        <v>3657.027846</v>
      </c>
      <c r="D139" s="2">
        <f t="shared" si="2"/>
        <v>67.97215382</v>
      </c>
      <c r="E139" s="2">
        <f t="shared" si="3"/>
        <v>4620.213695</v>
      </c>
    </row>
    <row r="140" ht="15.75" customHeight="1">
      <c r="A140" s="2">
        <v>192.0</v>
      </c>
      <c r="B140" s="2">
        <v>3000.0</v>
      </c>
      <c r="C140" s="2">
        <f t="shared" si="1"/>
        <v>3757.334378</v>
      </c>
      <c r="D140" s="2">
        <f t="shared" si="2"/>
        <v>-757.3343781</v>
      </c>
      <c r="E140" s="2">
        <f t="shared" si="3"/>
        <v>573555.3602</v>
      </c>
    </row>
    <row r="141" ht="15.75" customHeight="1">
      <c r="A141" s="2">
        <v>185.0</v>
      </c>
      <c r="B141" s="2">
        <v>3650.0</v>
      </c>
      <c r="C141" s="2">
        <f t="shared" si="1"/>
        <v>3406.261516</v>
      </c>
      <c r="D141" s="2">
        <f t="shared" si="2"/>
        <v>243.7384835</v>
      </c>
      <c r="E141" s="2">
        <f t="shared" si="3"/>
        <v>59408.44835</v>
      </c>
    </row>
    <row r="142" ht="15.75" customHeight="1">
      <c r="A142" s="2">
        <v>190.0</v>
      </c>
      <c r="B142" s="2">
        <v>4250.0</v>
      </c>
      <c r="C142" s="2">
        <f t="shared" si="1"/>
        <v>3657.027846</v>
      </c>
      <c r="D142" s="2">
        <f t="shared" si="2"/>
        <v>592.9721538</v>
      </c>
      <c r="E142" s="2">
        <f t="shared" si="3"/>
        <v>351615.9752</v>
      </c>
    </row>
    <row r="143" ht="15.75" customHeight="1">
      <c r="A143" s="2">
        <v>184.0</v>
      </c>
      <c r="B143" s="2">
        <v>3475.0</v>
      </c>
      <c r="C143" s="2">
        <f t="shared" si="1"/>
        <v>3356.108251</v>
      </c>
      <c r="D143" s="2">
        <f t="shared" si="2"/>
        <v>118.8917495</v>
      </c>
      <c r="E143" s="2">
        <f t="shared" si="3"/>
        <v>14135.24809</v>
      </c>
    </row>
    <row r="144" ht="15.75" customHeight="1">
      <c r="A144" s="2">
        <v>195.0</v>
      </c>
      <c r="B144" s="2">
        <v>3450.0</v>
      </c>
      <c r="C144" s="2">
        <f t="shared" si="1"/>
        <v>3907.794176</v>
      </c>
      <c r="D144" s="2">
        <f t="shared" si="2"/>
        <v>-457.7941759</v>
      </c>
      <c r="E144" s="2">
        <f t="shared" si="3"/>
        <v>209575.5075</v>
      </c>
    </row>
    <row r="145" ht="15.75" customHeight="1">
      <c r="A145" s="2">
        <v>193.0</v>
      </c>
      <c r="B145" s="2">
        <v>3750.0</v>
      </c>
      <c r="C145" s="2">
        <f t="shared" si="1"/>
        <v>3807.487644</v>
      </c>
      <c r="D145" s="2">
        <f t="shared" si="2"/>
        <v>-57.48764401</v>
      </c>
      <c r="E145" s="2">
        <f t="shared" si="3"/>
        <v>3304.829214</v>
      </c>
    </row>
    <row r="146" ht="15.75" customHeight="1">
      <c r="A146" s="2">
        <v>187.0</v>
      </c>
      <c r="B146" s="2">
        <v>3700.0</v>
      </c>
      <c r="C146" s="2">
        <f t="shared" si="1"/>
        <v>3506.568048</v>
      </c>
      <c r="D146" s="2">
        <f t="shared" si="2"/>
        <v>193.4319516</v>
      </c>
      <c r="E146" s="2">
        <f t="shared" si="3"/>
        <v>37415.91992</v>
      </c>
    </row>
    <row r="147" ht="15.75" customHeight="1">
      <c r="A147" s="2">
        <v>201.0</v>
      </c>
      <c r="B147" s="2">
        <v>4000.0</v>
      </c>
      <c r="C147" s="2">
        <f t="shared" si="1"/>
        <v>4208.713772</v>
      </c>
      <c r="D147" s="2">
        <f t="shared" si="2"/>
        <v>-208.7137715</v>
      </c>
      <c r="E147" s="2">
        <f t="shared" si="3"/>
        <v>43561.43843</v>
      </c>
    </row>
    <row r="148" ht="15.75" customHeight="1">
      <c r="A148" s="2">
        <v>192.0</v>
      </c>
      <c r="B148" s="2">
        <v>3500.0</v>
      </c>
      <c r="C148" s="2">
        <f t="shared" si="1"/>
        <v>3757.334378</v>
      </c>
      <c r="D148" s="2">
        <f t="shared" si="2"/>
        <v>-257.3343781</v>
      </c>
      <c r="E148" s="2">
        <f t="shared" si="3"/>
        <v>66220.98214</v>
      </c>
    </row>
    <row r="149" ht="15.75" customHeight="1">
      <c r="A149" s="2">
        <v>196.0</v>
      </c>
      <c r="B149" s="2">
        <v>3900.0</v>
      </c>
      <c r="C149" s="2">
        <f t="shared" si="1"/>
        <v>3957.947442</v>
      </c>
      <c r="D149" s="2">
        <f t="shared" si="2"/>
        <v>-57.94744184</v>
      </c>
      <c r="E149" s="2">
        <f t="shared" si="3"/>
        <v>3357.906015</v>
      </c>
    </row>
    <row r="150" ht="15.75" customHeight="1">
      <c r="A150" s="2">
        <v>193.0</v>
      </c>
      <c r="B150" s="2">
        <v>3650.0</v>
      </c>
      <c r="C150" s="2">
        <f t="shared" si="1"/>
        <v>3807.487644</v>
      </c>
      <c r="D150" s="2">
        <f t="shared" si="2"/>
        <v>-157.487644</v>
      </c>
      <c r="E150" s="2">
        <f t="shared" si="3"/>
        <v>24802.35802</v>
      </c>
    </row>
    <row r="151" ht="15.75" customHeight="1">
      <c r="A151" s="2">
        <v>188.0</v>
      </c>
      <c r="B151" s="2">
        <v>3525.0</v>
      </c>
      <c r="C151" s="2">
        <f t="shared" si="1"/>
        <v>3556.721314</v>
      </c>
      <c r="D151" s="2">
        <f t="shared" si="2"/>
        <v>-31.7213143</v>
      </c>
      <c r="E151" s="2">
        <f t="shared" si="3"/>
        <v>1006.241781</v>
      </c>
    </row>
    <row r="152" ht="15.75" customHeight="1">
      <c r="A152" s="2">
        <v>197.0</v>
      </c>
      <c r="B152" s="2">
        <v>3725.0</v>
      </c>
      <c r="C152" s="2">
        <f t="shared" si="1"/>
        <v>4008.100708</v>
      </c>
      <c r="D152" s="2">
        <f t="shared" si="2"/>
        <v>-283.1007078</v>
      </c>
      <c r="E152" s="2">
        <f t="shared" si="3"/>
        <v>80146.01074</v>
      </c>
    </row>
    <row r="153" ht="15.75" customHeight="1">
      <c r="A153" s="2">
        <v>198.0</v>
      </c>
      <c r="B153" s="2">
        <v>3950.0</v>
      </c>
      <c r="C153" s="2">
        <f t="shared" si="1"/>
        <v>4058.253974</v>
      </c>
      <c r="D153" s="2">
        <f t="shared" si="2"/>
        <v>-108.2539737</v>
      </c>
      <c r="E153" s="2">
        <f t="shared" si="3"/>
        <v>11718.92283</v>
      </c>
    </row>
    <row r="154" ht="15.75" customHeight="1">
      <c r="A154" s="2">
        <v>178.0</v>
      </c>
      <c r="B154" s="2">
        <v>3250.0</v>
      </c>
      <c r="C154" s="2">
        <f t="shared" si="1"/>
        <v>3055.188655</v>
      </c>
      <c r="D154" s="2">
        <f t="shared" si="2"/>
        <v>194.8113451</v>
      </c>
      <c r="E154" s="2">
        <f t="shared" si="3"/>
        <v>37951.46019</v>
      </c>
    </row>
    <row r="155" ht="15.75" customHeight="1">
      <c r="A155" s="2">
        <v>197.0</v>
      </c>
      <c r="B155" s="2">
        <v>3750.0</v>
      </c>
      <c r="C155" s="2">
        <f t="shared" si="1"/>
        <v>4008.100708</v>
      </c>
      <c r="D155" s="2">
        <f t="shared" si="2"/>
        <v>-258.1007078</v>
      </c>
      <c r="E155" s="2">
        <f t="shared" si="3"/>
        <v>66615.97536</v>
      </c>
    </row>
    <row r="156" ht="15.75" customHeight="1">
      <c r="A156" s="2">
        <v>195.0</v>
      </c>
      <c r="B156" s="2">
        <v>4150.0</v>
      </c>
      <c r="C156" s="2">
        <f t="shared" si="1"/>
        <v>3907.794176</v>
      </c>
      <c r="D156" s="2">
        <f t="shared" si="2"/>
        <v>242.2058241</v>
      </c>
      <c r="E156" s="2">
        <f t="shared" si="3"/>
        <v>58663.66123</v>
      </c>
    </row>
    <row r="157" ht="15.75" customHeight="1">
      <c r="A157" s="2">
        <v>198.0</v>
      </c>
      <c r="B157" s="2">
        <v>3700.0</v>
      </c>
      <c r="C157" s="2">
        <f t="shared" si="1"/>
        <v>4058.253974</v>
      </c>
      <c r="D157" s="2">
        <f t="shared" si="2"/>
        <v>-358.2539737</v>
      </c>
      <c r="E157" s="2">
        <f t="shared" si="3"/>
        <v>128345.9097</v>
      </c>
    </row>
    <row r="158" ht="15.75" customHeight="1">
      <c r="A158" s="2">
        <v>193.0</v>
      </c>
      <c r="B158" s="2">
        <v>3800.0</v>
      </c>
      <c r="C158" s="2">
        <f t="shared" si="1"/>
        <v>3807.487644</v>
      </c>
      <c r="D158" s="2">
        <f t="shared" si="2"/>
        <v>-7.48764401</v>
      </c>
      <c r="E158" s="2">
        <f t="shared" si="3"/>
        <v>56.06481282</v>
      </c>
    </row>
    <row r="159" ht="15.75" customHeight="1">
      <c r="A159" s="2">
        <v>194.0</v>
      </c>
      <c r="B159" s="2">
        <v>3775.0</v>
      </c>
      <c r="C159" s="2">
        <f t="shared" si="1"/>
        <v>3857.64091</v>
      </c>
      <c r="D159" s="2">
        <f t="shared" si="2"/>
        <v>-82.64090995</v>
      </c>
      <c r="E159" s="2">
        <f t="shared" si="3"/>
        <v>6829.519998</v>
      </c>
    </row>
    <row r="160" ht="15.75" customHeight="1">
      <c r="A160" s="2">
        <v>185.0</v>
      </c>
      <c r="B160" s="2">
        <v>3700.0</v>
      </c>
      <c r="C160" s="2">
        <f t="shared" si="1"/>
        <v>3406.261516</v>
      </c>
      <c r="D160" s="2">
        <f t="shared" si="2"/>
        <v>293.7384835</v>
      </c>
      <c r="E160" s="2">
        <f t="shared" si="3"/>
        <v>86282.29671</v>
      </c>
    </row>
    <row r="161" ht="15.75" customHeight="1">
      <c r="A161" s="2">
        <v>201.0</v>
      </c>
      <c r="B161" s="2">
        <v>4050.0</v>
      </c>
      <c r="C161" s="2">
        <f t="shared" si="1"/>
        <v>4208.713772</v>
      </c>
      <c r="D161" s="2">
        <f t="shared" si="2"/>
        <v>-158.7137715</v>
      </c>
      <c r="E161" s="2">
        <f t="shared" si="3"/>
        <v>25190.06128</v>
      </c>
    </row>
    <row r="162" ht="15.75" customHeight="1">
      <c r="A162" s="2">
        <v>190.0</v>
      </c>
      <c r="B162" s="2">
        <v>3575.0</v>
      </c>
      <c r="C162" s="2">
        <f t="shared" si="1"/>
        <v>3657.027846</v>
      </c>
      <c r="D162" s="2">
        <f t="shared" si="2"/>
        <v>-82.02784618</v>
      </c>
      <c r="E162" s="2">
        <f t="shared" si="3"/>
        <v>6728.567549</v>
      </c>
    </row>
    <row r="163" ht="15.75" customHeight="1">
      <c r="A163" s="2">
        <v>201.0</v>
      </c>
      <c r="B163" s="2">
        <v>4050.0</v>
      </c>
      <c r="C163" s="2">
        <f t="shared" si="1"/>
        <v>4208.713772</v>
      </c>
      <c r="D163" s="2">
        <f t="shared" si="2"/>
        <v>-158.7137715</v>
      </c>
      <c r="E163" s="2">
        <f t="shared" si="3"/>
        <v>25190.06128</v>
      </c>
    </row>
    <row r="164" ht="15.75" customHeight="1">
      <c r="A164" s="2">
        <v>197.0</v>
      </c>
      <c r="B164" s="2">
        <v>3300.0</v>
      </c>
      <c r="C164" s="2">
        <f t="shared" si="1"/>
        <v>4008.100708</v>
      </c>
      <c r="D164" s="2">
        <f t="shared" si="2"/>
        <v>-708.1007078</v>
      </c>
      <c r="E164" s="2">
        <f t="shared" si="3"/>
        <v>501406.6124</v>
      </c>
    </row>
    <row r="165" ht="15.75" customHeight="1">
      <c r="A165" s="2">
        <v>181.0</v>
      </c>
      <c r="B165" s="2">
        <v>3700.0</v>
      </c>
      <c r="C165" s="2">
        <f t="shared" si="1"/>
        <v>3205.648453</v>
      </c>
      <c r="D165" s="2">
        <f t="shared" si="2"/>
        <v>494.3515473</v>
      </c>
      <c r="E165" s="2">
        <f t="shared" si="3"/>
        <v>244383.4523</v>
      </c>
    </row>
    <row r="166" ht="15.75" customHeight="1">
      <c r="A166" s="2">
        <v>190.0</v>
      </c>
      <c r="B166" s="2">
        <v>3450.0</v>
      </c>
      <c r="C166" s="2">
        <f t="shared" si="1"/>
        <v>3657.027846</v>
      </c>
      <c r="D166" s="2">
        <f t="shared" si="2"/>
        <v>-207.0278462</v>
      </c>
      <c r="E166" s="2">
        <f t="shared" si="3"/>
        <v>42860.5291</v>
      </c>
    </row>
    <row r="167" ht="15.75" customHeight="1">
      <c r="A167" s="2">
        <v>195.0</v>
      </c>
      <c r="B167" s="2">
        <v>4400.0</v>
      </c>
      <c r="C167" s="2">
        <f t="shared" si="1"/>
        <v>3907.794176</v>
      </c>
      <c r="D167" s="2">
        <f t="shared" si="2"/>
        <v>492.2058241</v>
      </c>
      <c r="E167" s="2">
        <f t="shared" si="3"/>
        <v>242266.5733</v>
      </c>
    </row>
    <row r="168" ht="15.75" customHeight="1">
      <c r="A168" s="2">
        <v>181.0</v>
      </c>
      <c r="B168" s="2">
        <v>3600.0</v>
      </c>
      <c r="C168" s="2">
        <f t="shared" si="1"/>
        <v>3205.648453</v>
      </c>
      <c r="D168" s="2">
        <f t="shared" si="2"/>
        <v>394.3515473</v>
      </c>
      <c r="E168" s="2">
        <f t="shared" si="3"/>
        <v>155513.1429</v>
      </c>
    </row>
    <row r="169" ht="15.75" customHeight="1">
      <c r="A169" s="2">
        <v>191.0</v>
      </c>
      <c r="B169" s="2">
        <v>3400.0</v>
      </c>
      <c r="C169" s="2">
        <f t="shared" si="1"/>
        <v>3707.181112</v>
      </c>
      <c r="D169" s="2">
        <f t="shared" si="2"/>
        <v>-307.1811121</v>
      </c>
      <c r="E169" s="2">
        <f t="shared" si="3"/>
        <v>94360.23565</v>
      </c>
    </row>
    <row r="170" ht="15.75" customHeight="1">
      <c r="A170" s="2">
        <v>187.0</v>
      </c>
      <c r="B170" s="2">
        <v>2900.0</v>
      </c>
      <c r="C170" s="2">
        <f t="shared" si="1"/>
        <v>3506.568048</v>
      </c>
      <c r="D170" s="2">
        <f t="shared" si="2"/>
        <v>-606.5680484</v>
      </c>
      <c r="E170" s="2">
        <f t="shared" si="3"/>
        <v>367924.7973</v>
      </c>
    </row>
    <row r="171" ht="15.75" customHeight="1">
      <c r="A171" s="2">
        <v>193.0</v>
      </c>
      <c r="B171" s="2">
        <v>3800.0</v>
      </c>
      <c r="C171" s="2">
        <f t="shared" si="1"/>
        <v>3807.487644</v>
      </c>
      <c r="D171" s="2">
        <f t="shared" si="2"/>
        <v>-7.48764401</v>
      </c>
      <c r="E171" s="2">
        <f t="shared" si="3"/>
        <v>56.06481282</v>
      </c>
    </row>
    <row r="172" ht="15.75" customHeight="1">
      <c r="A172" s="2">
        <v>195.0</v>
      </c>
      <c r="B172" s="2">
        <v>3300.0</v>
      </c>
      <c r="C172" s="2">
        <f t="shared" si="1"/>
        <v>3907.794176</v>
      </c>
      <c r="D172" s="2">
        <f t="shared" si="2"/>
        <v>-607.7941759</v>
      </c>
      <c r="E172" s="2">
        <f t="shared" si="3"/>
        <v>369413.7603</v>
      </c>
    </row>
    <row r="173" ht="15.75" customHeight="1">
      <c r="A173" s="2">
        <v>197.0</v>
      </c>
      <c r="B173" s="2">
        <v>4150.0</v>
      </c>
      <c r="C173" s="2">
        <f t="shared" si="1"/>
        <v>4008.100708</v>
      </c>
      <c r="D173" s="2">
        <f t="shared" si="2"/>
        <v>141.8992922</v>
      </c>
      <c r="E173" s="2">
        <f t="shared" si="3"/>
        <v>20135.40913</v>
      </c>
    </row>
    <row r="174" ht="15.75" customHeight="1">
      <c r="A174" s="2">
        <v>200.0</v>
      </c>
      <c r="B174" s="2">
        <v>3400.0</v>
      </c>
      <c r="C174" s="2">
        <f t="shared" si="1"/>
        <v>4158.560506</v>
      </c>
      <c r="D174" s="2">
        <f t="shared" si="2"/>
        <v>-758.5605056</v>
      </c>
      <c r="E174" s="2">
        <f t="shared" si="3"/>
        <v>575414.0407</v>
      </c>
    </row>
    <row r="175" ht="15.75" customHeight="1">
      <c r="A175" s="2">
        <v>200.0</v>
      </c>
      <c r="B175" s="2">
        <v>3800.0</v>
      </c>
      <c r="C175" s="2">
        <f t="shared" si="1"/>
        <v>4158.560506</v>
      </c>
      <c r="D175" s="2">
        <f t="shared" si="2"/>
        <v>-358.5605056</v>
      </c>
      <c r="E175" s="2">
        <f t="shared" si="3"/>
        <v>128565.6362</v>
      </c>
    </row>
    <row r="176" ht="15.75" customHeight="1">
      <c r="A176" s="2">
        <v>191.0</v>
      </c>
      <c r="B176" s="2">
        <v>3700.0</v>
      </c>
      <c r="C176" s="2">
        <f t="shared" si="1"/>
        <v>3707.181112</v>
      </c>
      <c r="D176" s="2">
        <f t="shared" si="2"/>
        <v>-7.181112125</v>
      </c>
      <c r="E176" s="2">
        <f t="shared" si="3"/>
        <v>51.56837136</v>
      </c>
    </row>
    <row r="177" ht="15.75" customHeight="1">
      <c r="A177" s="2">
        <v>205.0</v>
      </c>
      <c r="B177" s="2">
        <v>4550.0</v>
      </c>
      <c r="C177" s="2">
        <f t="shared" si="1"/>
        <v>4409.326835</v>
      </c>
      <c r="D177" s="2">
        <f t="shared" si="2"/>
        <v>140.6731647</v>
      </c>
      <c r="E177" s="2">
        <f t="shared" si="3"/>
        <v>19788.93926</v>
      </c>
    </row>
    <row r="178" ht="15.75" customHeight="1">
      <c r="A178" s="2">
        <v>187.0</v>
      </c>
      <c r="B178" s="2">
        <v>3200.0</v>
      </c>
      <c r="C178" s="2">
        <f t="shared" si="1"/>
        <v>3506.568048</v>
      </c>
      <c r="D178" s="2">
        <f t="shared" si="2"/>
        <v>-306.5680484</v>
      </c>
      <c r="E178" s="2">
        <f t="shared" si="3"/>
        <v>93983.96827</v>
      </c>
    </row>
    <row r="179" ht="15.75" customHeight="1">
      <c r="A179" s="2">
        <v>201.0</v>
      </c>
      <c r="B179" s="2">
        <v>4300.0</v>
      </c>
      <c r="C179" s="2">
        <f t="shared" si="1"/>
        <v>4208.713772</v>
      </c>
      <c r="D179" s="2">
        <f t="shared" si="2"/>
        <v>91.28622845</v>
      </c>
      <c r="E179" s="2">
        <f t="shared" si="3"/>
        <v>8333.175505</v>
      </c>
    </row>
    <row r="180" ht="15.75" customHeight="1">
      <c r="A180" s="2">
        <v>187.0</v>
      </c>
      <c r="B180" s="2">
        <v>3350.0</v>
      </c>
      <c r="C180" s="2">
        <f t="shared" si="1"/>
        <v>3506.568048</v>
      </c>
      <c r="D180" s="2">
        <f t="shared" si="2"/>
        <v>-156.5680484</v>
      </c>
      <c r="E180" s="2">
        <f t="shared" si="3"/>
        <v>24513.55377</v>
      </c>
    </row>
    <row r="181" ht="15.75" customHeight="1">
      <c r="A181" s="2">
        <v>203.0</v>
      </c>
      <c r="B181" s="2">
        <v>4100.0</v>
      </c>
      <c r="C181" s="2">
        <f t="shared" si="1"/>
        <v>4309.020303</v>
      </c>
      <c r="D181" s="2">
        <f t="shared" si="2"/>
        <v>-209.0203034</v>
      </c>
      <c r="E181" s="2">
        <f t="shared" si="3"/>
        <v>43689.48725</v>
      </c>
    </row>
    <row r="182" ht="15.75" customHeight="1">
      <c r="A182" s="2">
        <v>195.0</v>
      </c>
      <c r="B182" s="2">
        <v>3600.0</v>
      </c>
      <c r="C182" s="2">
        <f t="shared" si="1"/>
        <v>3907.794176</v>
      </c>
      <c r="D182" s="2">
        <f t="shared" si="2"/>
        <v>-307.7941759</v>
      </c>
      <c r="E182" s="2">
        <f t="shared" si="3"/>
        <v>94737.25471</v>
      </c>
    </row>
    <row r="183" ht="15.75" customHeight="1">
      <c r="A183" s="2">
        <v>199.0</v>
      </c>
      <c r="B183" s="2">
        <v>3900.0</v>
      </c>
      <c r="C183" s="2">
        <f t="shared" si="1"/>
        <v>4108.40724</v>
      </c>
      <c r="D183" s="2">
        <f t="shared" si="2"/>
        <v>-208.4072397</v>
      </c>
      <c r="E183" s="2">
        <f t="shared" si="3"/>
        <v>43433.57754</v>
      </c>
    </row>
    <row r="184" ht="15.75" customHeight="1">
      <c r="A184" s="2">
        <v>195.0</v>
      </c>
      <c r="B184" s="2">
        <v>3850.0</v>
      </c>
      <c r="C184" s="2">
        <f t="shared" si="1"/>
        <v>3907.794176</v>
      </c>
      <c r="D184" s="2">
        <f t="shared" si="2"/>
        <v>-57.79417589</v>
      </c>
      <c r="E184" s="2">
        <f t="shared" si="3"/>
        <v>3340.166767</v>
      </c>
    </row>
    <row r="185" ht="15.75" customHeight="1">
      <c r="A185" s="2">
        <v>210.0</v>
      </c>
      <c r="B185" s="2">
        <v>4800.0</v>
      </c>
      <c r="C185" s="2">
        <f t="shared" si="1"/>
        <v>4660.093165</v>
      </c>
      <c r="D185" s="2">
        <f t="shared" si="2"/>
        <v>139.906835</v>
      </c>
      <c r="E185" s="2">
        <f t="shared" si="3"/>
        <v>19573.92247</v>
      </c>
    </row>
    <row r="186" ht="15.75" customHeight="1">
      <c r="A186" s="2">
        <v>192.0</v>
      </c>
      <c r="B186" s="2">
        <v>2700.0</v>
      </c>
      <c r="C186" s="2">
        <f t="shared" si="1"/>
        <v>3757.334378</v>
      </c>
      <c r="D186" s="2">
        <f t="shared" si="2"/>
        <v>-1057.334378</v>
      </c>
      <c r="E186" s="2">
        <f t="shared" si="3"/>
        <v>1117955.987</v>
      </c>
    </row>
    <row r="187" ht="15.75" customHeight="1">
      <c r="A187" s="2">
        <v>205.0</v>
      </c>
      <c r="B187" s="2">
        <v>4500.0</v>
      </c>
      <c r="C187" s="2">
        <f t="shared" si="1"/>
        <v>4409.326835</v>
      </c>
      <c r="D187" s="2">
        <f t="shared" si="2"/>
        <v>90.67316468</v>
      </c>
      <c r="E187" s="2">
        <f t="shared" si="3"/>
        <v>8221.622794</v>
      </c>
    </row>
    <row r="188" ht="15.75" customHeight="1">
      <c r="A188" s="2">
        <v>210.0</v>
      </c>
      <c r="B188" s="2">
        <v>3950.0</v>
      </c>
      <c r="C188" s="2">
        <f t="shared" si="1"/>
        <v>4660.093165</v>
      </c>
      <c r="D188" s="2">
        <f t="shared" si="2"/>
        <v>-710.093165</v>
      </c>
      <c r="E188" s="2">
        <f t="shared" si="3"/>
        <v>504232.303</v>
      </c>
    </row>
    <row r="189" ht="15.75" customHeight="1">
      <c r="A189" s="2">
        <v>187.0</v>
      </c>
      <c r="B189" s="2">
        <v>3650.0</v>
      </c>
      <c r="C189" s="2">
        <f t="shared" si="1"/>
        <v>3506.568048</v>
      </c>
      <c r="D189" s="2">
        <f t="shared" si="2"/>
        <v>143.4319516</v>
      </c>
      <c r="E189" s="2">
        <f t="shared" si="3"/>
        <v>20572.72475</v>
      </c>
    </row>
    <row r="190" ht="15.75" customHeight="1">
      <c r="A190" s="2">
        <v>196.0</v>
      </c>
      <c r="B190" s="2">
        <v>3550.0</v>
      </c>
      <c r="C190" s="2">
        <f t="shared" si="1"/>
        <v>3957.947442</v>
      </c>
      <c r="D190" s="2">
        <f t="shared" si="2"/>
        <v>-407.9474418</v>
      </c>
      <c r="E190" s="2">
        <f t="shared" si="3"/>
        <v>166421.1153</v>
      </c>
    </row>
    <row r="191" ht="15.75" customHeight="1">
      <c r="A191" s="2">
        <v>196.0</v>
      </c>
      <c r="B191" s="2">
        <v>3500.0</v>
      </c>
      <c r="C191" s="2">
        <f t="shared" si="1"/>
        <v>3957.947442</v>
      </c>
      <c r="D191" s="2">
        <f t="shared" si="2"/>
        <v>-457.9474418</v>
      </c>
      <c r="E191" s="2">
        <f t="shared" si="3"/>
        <v>209715.8595</v>
      </c>
    </row>
    <row r="192" ht="15.75" customHeight="1">
      <c r="A192" s="2">
        <v>196.0</v>
      </c>
      <c r="B192" s="2">
        <v>3675.0</v>
      </c>
      <c r="C192" s="2">
        <f t="shared" si="1"/>
        <v>3957.947442</v>
      </c>
      <c r="D192" s="2">
        <f t="shared" si="2"/>
        <v>-282.9474418</v>
      </c>
      <c r="E192" s="2">
        <f t="shared" si="3"/>
        <v>80059.25484</v>
      </c>
    </row>
    <row r="193" ht="15.75" customHeight="1">
      <c r="A193" s="2">
        <v>201.0</v>
      </c>
      <c r="B193" s="2">
        <v>4450.0</v>
      </c>
      <c r="C193" s="2">
        <f t="shared" si="1"/>
        <v>4208.713772</v>
      </c>
      <c r="D193" s="2">
        <f t="shared" si="2"/>
        <v>241.2862285</v>
      </c>
      <c r="E193" s="2">
        <f t="shared" si="3"/>
        <v>58219.04404</v>
      </c>
    </row>
    <row r="194" ht="15.75" customHeight="1">
      <c r="A194" s="2">
        <v>190.0</v>
      </c>
      <c r="B194" s="2">
        <v>3400.0</v>
      </c>
      <c r="C194" s="2">
        <f t="shared" si="1"/>
        <v>3657.027846</v>
      </c>
      <c r="D194" s="2">
        <f t="shared" si="2"/>
        <v>-257.0278462</v>
      </c>
      <c r="E194" s="2">
        <f t="shared" si="3"/>
        <v>66063.31371</v>
      </c>
    </row>
    <row r="195" ht="15.75" customHeight="1">
      <c r="A195" s="2">
        <v>212.0</v>
      </c>
      <c r="B195" s="2">
        <v>4300.0</v>
      </c>
      <c r="C195" s="2">
        <f t="shared" si="1"/>
        <v>4760.399697</v>
      </c>
      <c r="D195" s="2">
        <f t="shared" si="2"/>
        <v>-460.3996969</v>
      </c>
      <c r="E195" s="2">
        <f t="shared" si="3"/>
        <v>211967.8809</v>
      </c>
    </row>
    <row r="196" ht="15.75" customHeight="1">
      <c r="A196" s="2">
        <v>187.0</v>
      </c>
      <c r="B196" s="2">
        <v>3250.0</v>
      </c>
      <c r="C196" s="2">
        <f t="shared" si="1"/>
        <v>3506.568048</v>
      </c>
      <c r="D196" s="2">
        <f t="shared" si="2"/>
        <v>-256.5680484</v>
      </c>
      <c r="E196" s="2">
        <f t="shared" si="3"/>
        <v>65827.16344</v>
      </c>
    </row>
    <row r="197" ht="15.75" customHeight="1">
      <c r="A197" s="2">
        <v>198.0</v>
      </c>
      <c r="B197" s="2">
        <v>3675.0</v>
      </c>
      <c r="C197" s="2">
        <f t="shared" si="1"/>
        <v>4058.253974</v>
      </c>
      <c r="D197" s="2">
        <f t="shared" si="2"/>
        <v>-383.2539737</v>
      </c>
      <c r="E197" s="2">
        <f t="shared" si="3"/>
        <v>146883.6084</v>
      </c>
    </row>
    <row r="198" ht="15.75" customHeight="1">
      <c r="A198" s="2">
        <v>199.0</v>
      </c>
      <c r="B198" s="2">
        <v>3325.0</v>
      </c>
      <c r="C198" s="2">
        <f t="shared" si="1"/>
        <v>4108.40724</v>
      </c>
      <c r="D198" s="2">
        <f t="shared" si="2"/>
        <v>-783.4072397</v>
      </c>
      <c r="E198" s="2">
        <f t="shared" si="3"/>
        <v>613726.9032</v>
      </c>
    </row>
    <row r="199" ht="15.75" customHeight="1">
      <c r="A199" s="2">
        <v>201.0</v>
      </c>
      <c r="B199" s="2">
        <v>3950.0</v>
      </c>
      <c r="C199" s="2">
        <f t="shared" si="1"/>
        <v>4208.713772</v>
      </c>
      <c r="D199" s="2">
        <f t="shared" si="2"/>
        <v>-258.7137715</v>
      </c>
      <c r="E199" s="2">
        <f t="shared" si="3"/>
        <v>66932.81559</v>
      </c>
    </row>
    <row r="200" ht="15.75" customHeight="1">
      <c r="A200" s="2">
        <v>193.0</v>
      </c>
      <c r="B200" s="2">
        <v>3600.0</v>
      </c>
      <c r="C200" s="2">
        <f t="shared" si="1"/>
        <v>3807.487644</v>
      </c>
      <c r="D200" s="2">
        <f t="shared" si="2"/>
        <v>-207.487644</v>
      </c>
      <c r="E200" s="2">
        <f t="shared" si="3"/>
        <v>43051.12242</v>
      </c>
    </row>
    <row r="201" ht="15.75" customHeight="1">
      <c r="A201" s="2">
        <v>203.0</v>
      </c>
      <c r="B201" s="2">
        <v>4050.0</v>
      </c>
      <c r="C201" s="2">
        <f t="shared" si="1"/>
        <v>4309.020303</v>
      </c>
      <c r="D201" s="2">
        <f t="shared" si="2"/>
        <v>-259.0203034</v>
      </c>
      <c r="E201" s="2">
        <f t="shared" si="3"/>
        <v>67091.51759</v>
      </c>
    </row>
    <row r="202" ht="15.75" customHeight="1">
      <c r="A202" s="2">
        <v>187.0</v>
      </c>
      <c r="B202" s="2">
        <v>3350.0</v>
      </c>
      <c r="C202" s="2">
        <f t="shared" si="1"/>
        <v>3506.568048</v>
      </c>
      <c r="D202" s="2">
        <f t="shared" si="2"/>
        <v>-156.5680484</v>
      </c>
      <c r="E202" s="2">
        <f t="shared" si="3"/>
        <v>24513.55377</v>
      </c>
    </row>
    <row r="203" ht="15.75" customHeight="1">
      <c r="A203" s="2">
        <v>197.0</v>
      </c>
      <c r="B203" s="2">
        <v>3450.0</v>
      </c>
      <c r="C203" s="2">
        <f t="shared" si="1"/>
        <v>4008.100708</v>
      </c>
      <c r="D203" s="2">
        <f t="shared" si="2"/>
        <v>-558.1007078</v>
      </c>
      <c r="E203" s="2">
        <f t="shared" si="3"/>
        <v>311476.4</v>
      </c>
    </row>
    <row r="204" ht="15.75" customHeight="1">
      <c r="A204" s="2">
        <v>191.0</v>
      </c>
      <c r="B204" s="2">
        <v>3250.0</v>
      </c>
      <c r="C204" s="2">
        <f t="shared" si="1"/>
        <v>3707.181112</v>
      </c>
      <c r="D204" s="2">
        <f t="shared" si="2"/>
        <v>-457.1811121</v>
      </c>
      <c r="E204" s="2">
        <f t="shared" si="3"/>
        <v>209014.5693</v>
      </c>
    </row>
    <row r="205" ht="15.75" customHeight="1">
      <c r="A205" s="2">
        <v>203.0</v>
      </c>
      <c r="B205" s="2">
        <v>4050.0</v>
      </c>
      <c r="C205" s="2">
        <f t="shared" si="1"/>
        <v>4309.020303</v>
      </c>
      <c r="D205" s="2">
        <f t="shared" si="2"/>
        <v>-259.0203034</v>
      </c>
      <c r="E205" s="2">
        <f t="shared" si="3"/>
        <v>67091.51759</v>
      </c>
    </row>
    <row r="206" ht="15.75" customHeight="1">
      <c r="A206" s="2">
        <v>202.0</v>
      </c>
      <c r="B206" s="2">
        <v>3800.0</v>
      </c>
      <c r="C206" s="2">
        <f t="shared" si="1"/>
        <v>4258.867037</v>
      </c>
      <c r="D206" s="2">
        <f t="shared" si="2"/>
        <v>-458.8670375</v>
      </c>
      <c r="E206" s="2">
        <f t="shared" si="3"/>
        <v>210558.9581</v>
      </c>
    </row>
    <row r="207" ht="15.75" customHeight="1">
      <c r="A207" s="2">
        <v>194.0</v>
      </c>
      <c r="B207" s="2">
        <v>3525.0</v>
      </c>
      <c r="C207" s="2">
        <f t="shared" si="1"/>
        <v>3857.64091</v>
      </c>
      <c r="D207" s="2">
        <f t="shared" si="2"/>
        <v>-332.64091</v>
      </c>
      <c r="E207" s="2">
        <f t="shared" si="3"/>
        <v>110649.975</v>
      </c>
    </row>
    <row r="208" ht="15.75" customHeight="1">
      <c r="A208" s="2">
        <v>206.0</v>
      </c>
      <c r="B208" s="2">
        <v>3950.0</v>
      </c>
      <c r="C208" s="2">
        <f t="shared" si="1"/>
        <v>4459.480101</v>
      </c>
      <c r="D208" s="2">
        <f t="shared" si="2"/>
        <v>-509.4801013</v>
      </c>
      <c r="E208" s="2">
        <f t="shared" si="3"/>
        <v>259569.9736</v>
      </c>
    </row>
    <row r="209" ht="15.75" customHeight="1">
      <c r="A209" s="2">
        <v>189.0</v>
      </c>
      <c r="B209" s="2">
        <v>3650.0</v>
      </c>
      <c r="C209" s="2">
        <f t="shared" si="1"/>
        <v>3606.87458</v>
      </c>
      <c r="D209" s="2">
        <f t="shared" si="2"/>
        <v>43.12541976</v>
      </c>
      <c r="E209" s="2">
        <f t="shared" si="3"/>
        <v>1859.801829</v>
      </c>
    </row>
    <row r="210" ht="15.75" customHeight="1">
      <c r="A210" s="2">
        <v>195.0</v>
      </c>
      <c r="B210" s="2">
        <v>3650.0</v>
      </c>
      <c r="C210" s="2">
        <f t="shared" si="1"/>
        <v>3907.794176</v>
      </c>
      <c r="D210" s="2">
        <f t="shared" si="2"/>
        <v>-257.7941759</v>
      </c>
      <c r="E210" s="2">
        <f t="shared" si="3"/>
        <v>66457.83712</v>
      </c>
    </row>
    <row r="211" ht="15.75" customHeight="1">
      <c r="A211" s="2">
        <v>207.0</v>
      </c>
      <c r="B211" s="2">
        <v>4000.0</v>
      </c>
      <c r="C211" s="2">
        <f t="shared" si="1"/>
        <v>4509.633367</v>
      </c>
      <c r="D211" s="2">
        <f t="shared" si="2"/>
        <v>-509.6333672</v>
      </c>
      <c r="E211" s="2">
        <f t="shared" si="3"/>
        <v>259726.169</v>
      </c>
    </row>
    <row r="212" ht="15.75" customHeight="1">
      <c r="A212" s="2">
        <v>202.0</v>
      </c>
      <c r="B212" s="2">
        <v>3400.0</v>
      </c>
      <c r="C212" s="2">
        <f t="shared" si="1"/>
        <v>4258.867037</v>
      </c>
      <c r="D212" s="2">
        <f t="shared" si="2"/>
        <v>-858.8670375</v>
      </c>
      <c r="E212" s="2">
        <f t="shared" si="3"/>
        <v>737652.5881</v>
      </c>
    </row>
    <row r="213" ht="15.75" customHeight="1">
      <c r="A213" s="2">
        <v>193.0</v>
      </c>
      <c r="B213" s="2">
        <v>3775.0</v>
      </c>
      <c r="C213" s="2">
        <f t="shared" si="1"/>
        <v>3807.487644</v>
      </c>
      <c r="D213" s="2">
        <f t="shared" si="2"/>
        <v>-32.48764401</v>
      </c>
      <c r="E213" s="2">
        <f t="shared" si="3"/>
        <v>1055.447013</v>
      </c>
    </row>
    <row r="214" ht="15.75" customHeight="1">
      <c r="A214" s="2">
        <v>210.0</v>
      </c>
      <c r="B214" s="2">
        <v>4100.0</v>
      </c>
      <c r="C214" s="2">
        <f t="shared" si="1"/>
        <v>4660.093165</v>
      </c>
      <c r="D214" s="2">
        <f t="shared" si="2"/>
        <v>-560.093165</v>
      </c>
      <c r="E214" s="2">
        <f t="shared" si="3"/>
        <v>313704.3535</v>
      </c>
    </row>
    <row r="215" ht="15.75" customHeight="1">
      <c r="A215" s="2">
        <v>198.0</v>
      </c>
      <c r="B215" s="2">
        <v>3775.0</v>
      </c>
      <c r="C215" s="2">
        <f t="shared" si="1"/>
        <v>4058.253974</v>
      </c>
      <c r="D215" s="2">
        <f t="shared" si="2"/>
        <v>-283.2539737</v>
      </c>
      <c r="E215" s="2">
        <f t="shared" si="3"/>
        <v>80232.81363</v>
      </c>
    </row>
    <row r="216" ht="15.75" customHeight="1">
      <c r="A216" s="2">
        <v>211.0</v>
      </c>
      <c r="B216" s="2">
        <v>4500.0</v>
      </c>
      <c r="C216" s="2">
        <f t="shared" si="1"/>
        <v>4710.246431</v>
      </c>
      <c r="D216" s="2">
        <f t="shared" si="2"/>
        <v>-210.246431</v>
      </c>
      <c r="E216" s="2">
        <f t="shared" si="3"/>
        <v>44203.56174</v>
      </c>
    </row>
    <row r="217" ht="15.75" customHeight="1">
      <c r="A217" s="2">
        <v>230.0</v>
      </c>
      <c r="B217" s="2">
        <v>5700.0</v>
      </c>
      <c r="C217" s="2">
        <f t="shared" si="1"/>
        <v>5663.158484</v>
      </c>
      <c r="D217" s="2">
        <f t="shared" si="2"/>
        <v>36.84151613</v>
      </c>
      <c r="E217" s="2">
        <f t="shared" si="3"/>
        <v>1357.297311</v>
      </c>
    </row>
    <row r="218" ht="15.75" customHeight="1">
      <c r="A218" s="2">
        <v>210.0</v>
      </c>
      <c r="B218" s="2">
        <v>4450.0</v>
      </c>
      <c r="C218" s="2">
        <f t="shared" si="1"/>
        <v>4660.093165</v>
      </c>
      <c r="D218" s="2">
        <f t="shared" si="2"/>
        <v>-210.093165</v>
      </c>
      <c r="E218" s="2">
        <f t="shared" si="3"/>
        <v>44139.13799</v>
      </c>
    </row>
    <row r="219" ht="15.75" customHeight="1">
      <c r="A219" s="2">
        <v>218.0</v>
      </c>
      <c r="B219" s="2">
        <v>5700.0</v>
      </c>
      <c r="C219" s="2">
        <f t="shared" si="1"/>
        <v>5061.319293</v>
      </c>
      <c r="D219" s="2">
        <f t="shared" si="2"/>
        <v>638.6807074</v>
      </c>
      <c r="E219" s="2">
        <f t="shared" si="3"/>
        <v>407913.046</v>
      </c>
    </row>
    <row r="220" ht="15.75" customHeight="1">
      <c r="A220" s="2">
        <v>215.0</v>
      </c>
      <c r="B220" s="2">
        <v>5400.0</v>
      </c>
      <c r="C220" s="2">
        <f t="shared" si="1"/>
        <v>4910.859495</v>
      </c>
      <c r="D220" s="2">
        <f t="shared" si="2"/>
        <v>489.1405053</v>
      </c>
      <c r="E220" s="2">
        <f t="shared" si="3"/>
        <v>239258.4339</v>
      </c>
    </row>
    <row r="221" ht="15.75" customHeight="1">
      <c r="A221" s="2">
        <v>210.0</v>
      </c>
      <c r="B221" s="2">
        <v>4550.0</v>
      </c>
      <c r="C221" s="2">
        <f t="shared" si="1"/>
        <v>4660.093165</v>
      </c>
      <c r="D221" s="2">
        <f t="shared" si="2"/>
        <v>-110.093165</v>
      </c>
      <c r="E221" s="2">
        <f t="shared" si="3"/>
        <v>12120.50499</v>
      </c>
    </row>
    <row r="222" ht="15.75" customHeight="1">
      <c r="A222" s="2">
        <v>211.0</v>
      </c>
      <c r="B222" s="2">
        <v>4800.0</v>
      </c>
      <c r="C222" s="2">
        <f t="shared" si="1"/>
        <v>4710.246431</v>
      </c>
      <c r="D222" s="2">
        <f t="shared" si="2"/>
        <v>89.75356903</v>
      </c>
      <c r="E222" s="2">
        <f t="shared" si="3"/>
        <v>8055.703154</v>
      </c>
    </row>
    <row r="223" ht="15.75" customHeight="1">
      <c r="A223" s="2">
        <v>219.0</v>
      </c>
      <c r="B223" s="2">
        <v>5200.0</v>
      </c>
      <c r="C223" s="2">
        <f t="shared" si="1"/>
        <v>5111.472559</v>
      </c>
      <c r="D223" s="2">
        <f t="shared" si="2"/>
        <v>88.52744149</v>
      </c>
      <c r="E223" s="2">
        <f t="shared" si="3"/>
        <v>7837.107897</v>
      </c>
    </row>
    <row r="224" ht="15.75" customHeight="1">
      <c r="A224" s="2">
        <v>209.0</v>
      </c>
      <c r="B224" s="2">
        <v>4400.0</v>
      </c>
      <c r="C224" s="2">
        <f t="shared" si="1"/>
        <v>4609.939899</v>
      </c>
      <c r="D224" s="2">
        <f t="shared" si="2"/>
        <v>-209.9398991</v>
      </c>
      <c r="E224" s="2">
        <f t="shared" si="3"/>
        <v>44074.76123</v>
      </c>
    </row>
    <row r="225" ht="15.75" customHeight="1">
      <c r="A225" s="2">
        <v>215.0</v>
      </c>
      <c r="B225" s="2">
        <v>5150.0</v>
      </c>
      <c r="C225" s="2">
        <f t="shared" si="1"/>
        <v>4910.859495</v>
      </c>
      <c r="D225" s="2">
        <f t="shared" si="2"/>
        <v>239.1405053</v>
      </c>
      <c r="E225" s="2">
        <f t="shared" si="3"/>
        <v>57188.18126</v>
      </c>
    </row>
    <row r="226" ht="15.75" customHeight="1">
      <c r="A226" s="2">
        <v>214.0</v>
      </c>
      <c r="B226" s="2">
        <v>4650.0</v>
      </c>
      <c r="C226" s="2">
        <f t="shared" si="1"/>
        <v>4860.706229</v>
      </c>
      <c r="D226" s="2">
        <f t="shared" si="2"/>
        <v>-210.7062288</v>
      </c>
      <c r="E226" s="2">
        <f t="shared" si="3"/>
        <v>44397.11485</v>
      </c>
    </row>
    <row r="227" ht="15.75" customHeight="1">
      <c r="A227" s="2">
        <v>216.0</v>
      </c>
      <c r="B227" s="2">
        <v>5550.0</v>
      </c>
      <c r="C227" s="2">
        <f t="shared" si="1"/>
        <v>4961.012761</v>
      </c>
      <c r="D227" s="2">
        <f t="shared" si="2"/>
        <v>588.9872393</v>
      </c>
      <c r="E227" s="2">
        <f t="shared" si="3"/>
        <v>346905.9681</v>
      </c>
    </row>
    <row r="228" ht="15.75" customHeight="1">
      <c r="A228" s="2">
        <v>214.0</v>
      </c>
      <c r="B228" s="2">
        <v>4650.0</v>
      </c>
      <c r="C228" s="2">
        <f t="shared" si="1"/>
        <v>4860.706229</v>
      </c>
      <c r="D228" s="2">
        <f t="shared" si="2"/>
        <v>-210.7062288</v>
      </c>
      <c r="E228" s="2">
        <f t="shared" si="3"/>
        <v>44397.11485</v>
      </c>
    </row>
    <row r="229" ht="15.75" customHeight="1">
      <c r="A229" s="2">
        <v>213.0</v>
      </c>
      <c r="B229" s="2">
        <v>5850.0</v>
      </c>
      <c r="C229" s="2">
        <f t="shared" si="1"/>
        <v>4810.552963</v>
      </c>
      <c r="D229" s="2">
        <f t="shared" si="2"/>
        <v>1039.447037</v>
      </c>
      <c r="E229" s="2">
        <f t="shared" si="3"/>
        <v>1080450.143</v>
      </c>
    </row>
    <row r="230" ht="15.75" customHeight="1">
      <c r="A230" s="2">
        <v>210.0</v>
      </c>
      <c r="B230" s="2">
        <v>4200.0</v>
      </c>
      <c r="C230" s="2">
        <f t="shared" si="1"/>
        <v>4660.093165</v>
      </c>
      <c r="D230" s="2">
        <f t="shared" si="2"/>
        <v>-460.093165</v>
      </c>
      <c r="E230" s="2">
        <f t="shared" si="3"/>
        <v>211685.7205</v>
      </c>
    </row>
    <row r="231" ht="15.75" customHeight="1">
      <c r="A231" s="2">
        <v>217.0</v>
      </c>
      <c r="B231" s="2">
        <v>5850.0</v>
      </c>
      <c r="C231" s="2">
        <f t="shared" si="1"/>
        <v>5011.166027</v>
      </c>
      <c r="D231" s="2">
        <f t="shared" si="2"/>
        <v>838.8339734</v>
      </c>
      <c r="E231" s="2">
        <f t="shared" si="3"/>
        <v>703642.4349</v>
      </c>
    </row>
    <row r="232" ht="15.75" customHeight="1">
      <c r="A232" s="2">
        <v>210.0</v>
      </c>
      <c r="B232" s="2">
        <v>4150.0</v>
      </c>
      <c r="C232" s="2">
        <f t="shared" si="1"/>
        <v>4660.093165</v>
      </c>
      <c r="D232" s="2">
        <f t="shared" si="2"/>
        <v>-510.093165</v>
      </c>
      <c r="E232" s="2">
        <f t="shared" si="3"/>
        <v>260195.037</v>
      </c>
    </row>
    <row r="233" ht="15.75" customHeight="1">
      <c r="A233" s="2">
        <v>221.0</v>
      </c>
      <c r="B233" s="2">
        <v>6300.0</v>
      </c>
      <c r="C233" s="2">
        <f t="shared" si="1"/>
        <v>5211.77909</v>
      </c>
      <c r="D233" s="2">
        <f t="shared" si="2"/>
        <v>1088.22091</v>
      </c>
      <c r="E233" s="2">
        <f t="shared" si="3"/>
        <v>1184224.748</v>
      </c>
    </row>
    <row r="234" ht="15.75" customHeight="1">
      <c r="A234" s="2">
        <v>209.0</v>
      </c>
      <c r="B234" s="2">
        <v>4800.0</v>
      </c>
      <c r="C234" s="2">
        <f t="shared" si="1"/>
        <v>4609.939899</v>
      </c>
      <c r="D234" s="2">
        <f t="shared" si="2"/>
        <v>190.0601009</v>
      </c>
      <c r="E234" s="2">
        <f t="shared" si="3"/>
        <v>36122.84196</v>
      </c>
    </row>
    <row r="235" ht="15.75" customHeight="1">
      <c r="A235" s="2">
        <v>222.0</v>
      </c>
      <c r="B235" s="2">
        <v>5350.0</v>
      </c>
      <c r="C235" s="2">
        <f t="shared" si="1"/>
        <v>5261.932356</v>
      </c>
      <c r="D235" s="2">
        <f t="shared" si="2"/>
        <v>88.06764367</v>
      </c>
      <c r="E235" s="2">
        <f t="shared" si="3"/>
        <v>7755.909861</v>
      </c>
    </row>
    <row r="236" ht="15.75" customHeight="1">
      <c r="A236" s="2">
        <v>218.0</v>
      </c>
      <c r="B236" s="2">
        <v>5700.0</v>
      </c>
      <c r="C236" s="2">
        <f t="shared" si="1"/>
        <v>5061.319293</v>
      </c>
      <c r="D236" s="2">
        <f t="shared" si="2"/>
        <v>638.6807074</v>
      </c>
      <c r="E236" s="2">
        <f t="shared" si="3"/>
        <v>407913.046</v>
      </c>
    </row>
    <row r="237" ht="15.75" customHeight="1">
      <c r="A237" s="2">
        <v>215.0</v>
      </c>
      <c r="B237" s="2">
        <v>5000.0</v>
      </c>
      <c r="C237" s="2">
        <f t="shared" si="1"/>
        <v>4910.859495</v>
      </c>
      <c r="D237" s="2">
        <f t="shared" si="2"/>
        <v>89.14050526</v>
      </c>
      <c r="E237" s="2">
        <f t="shared" si="3"/>
        <v>7946.029678</v>
      </c>
    </row>
    <row r="238" ht="15.75" customHeight="1">
      <c r="A238" s="2">
        <v>213.0</v>
      </c>
      <c r="B238" s="2">
        <v>4400.0</v>
      </c>
      <c r="C238" s="2">
        <f t="shared" si="1"/>
        <v>4810.552963</v>
      </c>
      <c r="D238" s="2">
        <f t="shared" si="2"/>
        <v>-410.5529629</v>
      </c>
      <c r="E238" s="2">
        <f t="shared" si="3"/>
        <v>168553.7353</v>
      </c>
    </row>
    <row r="239" ht="15.75" customHeight="1">
      <c r="A239" s="2">
        <v>215.0</v>
      </c>
      <c r="B239" s="2">
        <v>5050.0</v>
      </c>
      <c r="C239" s="2">
        <f t="shared" si="1"/>
        <v>4910.859495</v>
      </c>
      <c r="D239" s="2">
        <f t="shared" si="2"/>
        <v>139.1405053</v>
      </c>
      <c r="E239" s="2">
        <f t="shared" si="3"/>
        <v>19360.0802</v>
      </c>
    </row>
    <row r="240" ht="15.75" customHeight="1">
      <c r="A240" s="2">
        <v>215.0</v>
      </c>
      <c r="B240" s="2">
        <v>5000.0</v>
      </c>
      <c r="C240" s="2">
        <f t="shared" si="1"/>
        <v>4910.859495</v>
      </c>
      <c r="D240" s="2">
        <f t="shared" si="2"/>
        <v>89.14050526</v>
      </c>
      <c r="E240" s="2">
        <f t="shared" si="3"/>
        <v>7946.029678</v>
      </c>
    </row>
    <row r="241" ht="15.75" customHeight="1">
      <c r="A241" s="2">
        <v>215.0</v>
      </c>
      <c r="B241" s="2">
        <v>5100.0</v>
      </c>
      <c r="C241" s="2">
        <f t="shared" si="1"/>
        <v>4910.859495</v>
      </c>
      <c r="D241" s="2">
        <f t="shared" si="2"/>
        <v>189.1405053</v>
      </c>
      <c r="E241" s="2">
        <f t="shared" si="3"/>
        <v>35774.13073</v>
      </c>
    </row>
    <row r="242" ht="15.75" customHeight="1">
      <c r="A242" s="2">
        <v>215.0</v>
      </c>
      <c r="B242" s="2">
        <v>5650.0</v>
      </c>
      <c r="C242" s="2">
        <f t="shared" si="1"/>
        <v>4910.859495</v>
      </c>
      <c r="D242" s="2">
        <f t="shared" si="2"/>
        <v>739.1405053</v>
      </c>
      <c r="E242" s="2">
        <f t="shared" si="3"/>
        <v>546328.6865</v>
      </c>
    </row>
    <row r="243" ht="15.75" customHeight="1">
      <c r="A243" s="2">
        <v>210.0</v>
      </c>
      <c r="B243" s="2">
        <v>4600.0</v>
      </c>
      <c r="C243" s="2">
        <f t="shared" si="1"/>
        <v>4660.093165</v>
      </c>
      <c r="D243" s="2">
        <f t="shared" si="2"/>
        <v>-60.09316503</v>
      </c>
      <c r="E243" s="2">
        <f t="shared" si="3"/>
        <v>3611.188483</v>
      </c>
    </row>
    <row r="244" ht="15.75" customHeight="1">
      <c r="A244" s="2">
        <v>220.0</v>
      </c>
      <c r="B244" s="2">
        <v>5550.0</v>
      </c>
      <c r="C244" s="2">
        <f t="shared" si="1"/>
        <v>5161.625824</v>
      </c>
      <c r="D244" s="2">
        <f t="shared" si="2"/>
        <v>388.3741755</v>
      </c>
      <c r="E244" s="2">
        <f t="shared" si="3"/>
        <v>150834.5002</v>
      </c>
    </row>
    <row r="245" ht="15.75" customHeight="1">
      <c r="A245" s="2">
        <v>222.0</v>
      </c>
      <c r="B245" s="2">
        <v>5250.0</v>
      </c>
      <c r="C245" s="2">
        <f t="shared" si="1"/>
        <v>5261.932356</v>
      </c>
      <c r="D245" s="2">
        <f t="shared" si="2"/>
        <v>-11.93235633</v>
      </c>
      <c r="E245" s="2">
        <f t="shared" si="3"/>
        <v>142.3811277</v>
      </c>
    </row>
    <row r="246" ht="15.75" customHeight="1">
      <c r="A246" s="2">
        <v>209.0</v>
      </c>
      <c r="B246" s="2">
        <v>4700.0</v>
      </c>
      <c r="C246" s="2">
        <f t="shared" si="1"/>
        <v>4609.939899</v>
      </c>
      <c r="D246" s="2">
        <f t="shared" si="2"/>
        <v>90.06010091</v>
      </c>
      <c r="E246" s="2">
        <f t="shared" si="3"/>
        <v>8110.821777</v>
      </c>
    </row>
    <row r="247" ht="15.75" customHeight="1">
      <c r="A247" s="2">
        <v>207.0</v>
      </c>
      <c r="B247" s="2">
        <v>5050.0</v>
      </c>
      <c r="C247" s="2">
        <f t="shared" si="1"/>
        <v>4509.633367</v>
      </c>
      <c r="D247" s="2">
        <f t="shared" si="2"/>
        <v>540.3666328</v>
      </c>
      <c r="E247" s="2">
        <f t="shared" si="3"/>
        <v>291996.0978</v>
      </c>
    </row>
    <row r="248" ht="15.75" customHeight="1">
      <c r="A248" s="2">
        <v>230.0</v>
      </c>
      <c r="B248" s="2">
        <v>6050.0</v>
      </c>
      <c r="C248" s="2">
        <f t="shared" si="1"/>
        <v>5663.158484</v>
      </c>
      <c r="D248" s="2">
        <f t="shared" si="2"/>
        <v>386.8415161</v>
      </c>
      <c r="E248" s="2">
        <f t="shared" si="3"/>
        <v>149646.3586</v>
      </c>
    </row>
    <row r="249" ht="15.75" customHeight="1">
      <c r="A249" s="2">
        <v>220.0</v>
      </c>
      <c r="B249" s="2">
        <v>5150.0</v>
      </c>
      <c r="C249" s="2">
        <f t="shared" si="1"/>
        <v>5161.625824</v>
      </c>
      <c r="D249" s="2">
        <f t="shared" si="2"/>
        <v>-11.62582445</v>
      </c>
      <c r="E249" s="2">
        <f t="shared" si="3"/>
        <v>135.1597941</v>
      </c>
    </row>
    <row r="250" ht="15.75" customHeight="1">
      <c r="A250" s="2">
        <v>220.0</v>
      </c>
      <c r="B250" s="2">
        <v>5400.0</v>
      </c>
      <c r="C250" s="2">
        <f t="shared" si="1"/>
        <v>5161.625824</v>
      </c>
      <c r="D250" s="2">
        <f t="shared" si="2"/>
        <v>238.3741755</v>
      </c>
      <c r="E250" s="2">
        <f t="shared" si="3"/>
        <v>56822.24757</v>
      </c>
    </row>
    <row r="251" ht="15.75" customHeight="1">
      <c r="A251" s="2">
        <v>213.0</v>
      </c>
      <c r="B251" s="2">
        <v>4950.0</v>
      </c>
      <c r="C251" s="2">
        <f t="shared" si="1"/>
        <v>4810.552963</v>
      </c>
      <c r="D251" s="2">
        <f t="shared" si="2"/>
        <v>139.4470371</v>
      </c>
      <c r="E251" s="2">
        <f t="shared" si="3"/>
        <v>19445.47617</v>
      </c>
    </row>
    <row r="252" ht="15.75" customHeight="1">
      <c r="A252" s="2">
        <v>219.0</v>
      </c>
      <c r="B252" s="2">
        <v>5250.0</v>
      </c>
      <c r="C252" s="2">
        <f t="shared" si="1"/>
        <v>5111.472559</v>
      </c>
      <c r="D252" s="2">
        <f t="shared" si="2"/>
        <v>138.5274415</v>
      </c>
      <c r="E252" s="2">
        <f t="shared" si="3"/>
        <v>19189.85205</v>
      </c>
    </row>
    <row r="253" ht="15.75" customHeight="1">
      <c r="A253" s="2">
        <v>208.0</v>
      </c>
      <c r="B253" s="2">
        <v>4350.0</v>
      </c>
      <c r="C253" s="2">
        <f t="shared" si="1"/>
        <v>4559.786633</v>
      </c>
      <c r="D253" s="2">
        <f t="shared" si="2"/>
        <v>-209.7866331</v>
      </c>
      <c r="E253" s="2">
        <f t="shared" si="3"/>
        <v>44010.43145</v>
      </c>
    </row>
    <row r="254" ht="15.75" customHeight="1">
      <c r="A254" s="2">
        <v>208.0</v>
      </c>
      <c r="B254" s="2">
        <v>5350.0</v>
      </c>
      <c r="C254" s="2">
        <f t="shared" si="1"/>
        <v>4559.786633</v>
      </c>
      <c r="D254" s="2">
        <f t="shared" si="2"/>
        <v>790.2133669</v>
      </c>
      <c r="E254" s="2">
        <f t="shared" si="3"/>
        <v>624437.1652</v>
      </c>
    </row>
    <row r="255" ht="15.75" customHeight="1">
      <c r="A255" s="2">
        <v>208.0</v>
      </c>
      <c r="B255" s="2">
        <v>3950.0</v>
      </c>
      <c r="C255" s="2">
        <f t="shared" si="1"/>
        <v>4559.786633</v>
      </c>
      <c r="D255" s="2">
        <f t="shared" si="2"/>
        <v>-609.7866331</v>
      </c>
      <c r="E255" s="2">
        <f t="shared" si="3"/>
        <v>371839.738</v>
      </c>
    </row>
    <row r="256" ht="15.75" customHeight="1">
      <c r="A256" s="2">
        <v>225.0</v>
      </c>
      <c r="B256" s="2">
        <v>5700.0</v>
      </c>
      <c r="C256" s="2">
        <f t="shared" si="1"/>
        <v>5412.392154</v>
      </c>
      <c r="D256" s="2">
        <f t="shared" si="2"/>
        <v>287.6078458</v>
      </c>
      <c r="E256" s="2">
        <f t="shared" si="3"/>
        <v>82718.27299</v>
      </c>
    </row>
    <row r="257" ht="15.75" customHeight="1">
      <c r="A257" s="2">
        <v>210.0</v>
      </c>
      <c r="B257" s="2">
        <v>4300.0</v>
      </c>
      <c r="C257" s="2">
        <f t="shared" si="1"/>
        <v>4660.093165</v>
      </c>
      <c r="D257" s="2">
        <f t="shared" si="2"/>
        <v>-360.093165</v>
      </c>
      <c r="E257" s="2">
        <f t="shared" si="3"/>
        <v>129667.0875</v>
      </c>
    </row>
    <row r="258" ht="15.75" customHeight="1">
      <c r="A258" s="2">
        <v>216.0</v>
      </c>
      <c r="B258" s="2">
        <v>4750.0</v>
      </c>
      <c r="C258" s="2">
        <f t="shared" si="1"/>
        <v>4961.012761</v>
      </c>
      <c r="D258" s="2">
        <f t="shared" si="2"/>
        <v>-211.0127607</v>
      </c>
      <c r="E258" s="2">
        <f t="shared" si="3"/>
        <v>44526.38517</v>
      </c>
    </row>
    <row r="259" ht="15.75" customHeight="1">
      <c r="A259" s="2">
        <v>222.0</v>
      </c>
      <c r="B259" s="2">
        <v>5550.0</v>
      </c>
      <c r="C259" s="2">
        <f t="shared" si="1"/>
        <v>5261.932356</v>
      </c>
      <c r="D259" s="2">
        <f t="shared" si="2"/>
        <v>288.0676437</v>
      </c>
      <c r="E259" s="2">
        <f t="shared" si="3"/>
        <v>82982.96733</v>
      </c>
    </row>
    <row r="260" ht="15.75" customHeight="1">
      <c r="A260" s="2">
        <v>217.0</v>
      </c>
      <c r="B260" s="2">
        <v>4900.0</v>
      </c>
      <c r="C260" s="2">
        <f t="shared" si="1"/>
        <v>5011.166027</v>
      </c>
      <c r="D260" s="2">
        <f t="shared" si="2"/>
        <v>-111.1660266</v>
      </c>
      <c r="E260" s="2">
        <f t="shared" si="3"/>
        <v>12357.88548</v>
      </c>
    </row>
    <row r="261" ht="15.75" customHeight="1">
      <c r="A261" s="2">
        <v>210.0</v>
      </c>
      <c r="B261" s="2">
        <v>4200.0</v>
      </c>
      <c r="C261" s="2">
        <f t="shared" si="1"/>
        <v>4660.093165</v>
      </c>
      <c r="D261" s="2">
        <f t="shared" si="2"/>
        <v>-460.093165</v>
      </c>
      <c r="E261" s="2">
        <f t="shared" si="3"/>
        <v>211685.7205</v>
      </c>
    </row>
    <row r="262" ht="15.75" customHeight="1">
      <c r="A262" s="2">
        <v>225.0</v>
      </c>
      <c r="B262" s="2">
        <v>5400.0</v>
      </c>
      <c r="C262" s="2">
        <f t="shared" si="1"/>
        <v>5412.392154</v>
      </c>
      <c r="D262" s="2">
        <f t="shared" si="2"/>
        <v>-12.39215416</v>
      </c>
      <c r="E262" s="2">
        <f t="shared" si="3"/>
        <v>153.5654848</v>
      </c>
    </row>
    <row r="263" ht="15.75" customHeight="1">
      <c r="A263" s="2">
        <v>213.0</v>
      </c>
      <c r="B263" s="2">
        <v>5100.0</v>
      </c>
      <c r="C263" s="2">
        <f t="shared" si="1"/>
        <v>4810.552963</v>
      </c>
      <c r="D263" s="2">
        <f t="shared" si="2"/>
        <v>289.4470371</v>
      </c>
      <c r="E263" s="2">
        <f t="shared" si="3"/>
        <v>83779.58731</v>
      </c>
    </row>
    <row r="264" ht="15.75" customHeight="1">
      <c r="A264" s="2">
        <v>215.0</v>
      </c>
      <c r="B264" s="2">
        <v>5300.0</v>
      </c>
      <c r="C264" s="2">
        <f t="shared" si="1"/>
        <v>4910.859495</v>
      </c>
      <c r="D264" s="2">
        <f t="shared" si="2"/>
        <v>389.1405053</v>
      </c>
      <c r="E264" s="2">
        <f t="shared" si="3"/>
        <v>151430.3328</v>
      </c>
    </row>
    <row r="265" ht="15.75" customHeight="1">
      <c r="A265" s="2">
        <v>210.0</v>
      </c>
      <c r="B265" s="2">
        <v>4850.0</v>
      </c>
      <c r="C265" s="2">
        <f t="shared" si="1"/>
        <v>4660.093165</v>
      </c>
      <c r="D265" s="2">
        <f t="shared" si="2"/>
        <v>189.906835</v>
      </c>
      <c r="E265" s="2">
        <f t="shared" si="3"/>
        <v>36064.60597</v>
      </c>
    </row>
    <row r="266" ht="15.75" customHeight="1">
      <c r="A266" s="2">
        <v>220.0</v>
      </c>
      <c r="B266" s="2">
        <v>5300.0</v>
      </c>
      <c r="C266" s="2">
        <f t="shared" si="1"/>
        <v>5161.625824</v>
      </c>
      <c r="D266" s="2">
        <f t="shared" si="2"/>
        <v>138.3741755</v>
      </c>
      <c r="E266" s="2">
        <f t="shared" si="3"/>
        <v>19147.41246</v>
      </c>
    </row>
    <row r="267" ht="15.75" customHeight="1">
      <c r="A267" s="2">
        <v>210.0</v>
      </c>
      <c r="B267" s="2">
        <v>4400.0</v>
      </c>
      <c r="C267" s="2">
        <f t="shared" si="1"/>
        <v>4660.093165</v>
      </c>
      <c r="D267" s="2">
        <f t="shared" si="2"/>
        <v>-260.093165</v>
      </c>
      <c r="E267" s="2">
        <f t="shared" si="3"/>
        <v>67648.45449</v>
      </c>
    </row>
    <row r="268" ht="15.75" customHeight="1">
      <c r="A268" s="2">
        <v>225.0</v>
      </c>
      <c r="B268" s="2">
        <v>5000.0</v>
      </c>
      <c r="C268" s="2">
        <f t="shared" si="1"/>
        <v>5412.392154</v>
      </c>
      <c r="D268" s="2">
        <f t="shared" si="2"/>
        <v>-412.3921542</v>
      </c>
      <c r="E268" s="2">
        <f t="shared" si="3"/>
        <v>170067.2888</v>
      </c>
    </row>
    <row r="269" ht="15.75" customHeight="1">
      <c r="A269" s="2">
        <v>217.0</v>
      </c>
      <c r="B269" s="2">
        <v>4900.0</v>
      </c>
      <c r="C269" s="2">
        <f t="shared" si="1"/>
        <v>5011.166027</v>
      </c>
      <c r="D269" s="2">
        <f t="shared" si="2"/>
        <v>-111.1660266</v>
      </c>
      <c r="E269" s="2">
        <f t="shared" si="3"/>
        <v>12357.88548</v>
      </c>
    </row>
    <row r="270" ht="15.75" customHeight="1">
      <c r="A270" s="2">
        <v>220.0</v>
      </c>
      <c r="B270" s="2">
        <v>5050.0</v>
      </c>
      <c r="C270" s="2">
        <f t="shared" si="1"/>
        <v>5161.625824</v>
      </c>
      <c r="D270" s="2">
        <f t="shared" si="2"/>
        <v>-111.6258245</v>
      </c>
      <c r="E270" s="2">
        <f t="shared" si="3"/>
        <v>12460.32468</v>
      </c>
    </row>
    <row r="271" ht="15.75" customHeight="1">
      <c r="A271" s="2">
        <v>208.0</v>
      </c>
      <c r="B271" s="2">
        <v>4300.0</v>
      </c>
      <c r="C271" s="2">
        <f t="shared" si="1"/>
        <v>4559.786633</v>
      </c>
      <c r="D271" s="2">
        <f t="shared" si="2"/>
        <v>-259.7866331</v>
      </c>
      <c r="E271" s="2">
        <f t="shared" si="3"/>
        <v>67489.09476</v>
      </c>
    </row>
    <row r="272" ht="15.75" customHeight="1">
      <c r="A272" s="2">
        <v>220.0</v>
      </c>
      <c r="B272" s="2">
        <v>5000.0</v>
      </c>
      <c r="C272" s="2">
        <f t="shared" si="1"/>
        <v>5161.625824</v>
      </c>
      <c r="D272" s="2">
        <f t="shared" si="2"/>
        <v>-161.6258245</v>
      </c>
      <c r="E272" s="2">
        <f t="shared" si="3"/>
        <v>26122.90713</v>
      </c>
    </row>
    <row r="273" ht="15.75" customHeight="1">
      <c r="A273" s="2">
        <v>208.0</v>
      </c>
      <c r="B273" s="2">
        <v>4450.0</v>
      </c>
      <c r="C273" s="2">
        <f t="shared" si="1"/>
        <v>4559.786633</v>
      </c>
      <c r="D273" s="2">
        <f t="shared" si="2"/>
        <v>-109.7866331</v>
      </c>
      <c r="E273" s="2">
        <f t="shared" si="3"/>
        <v>12053.10482</v>
      </c>
    </row>
    <row r="274" ht="15.75" customHeight="1">
      <c r="A274" s="2">
        <v>224.0</v>
      </c>
      <c r="B274" s="2">
        <v>5550.0</v>
      </c>
      <c r="C274" s="2">
        <f t="shared" si="1"/>
        <v>5362.238888</v>
      </c>
      <c r="D274" s="2">
        <f t="shared" si="2"/>
        <v>187.7611118</v>
      </c>
      <c r="E274" s="2">
        <f t="shared" si="3"/>
        <v>35254.2351</v>
      </c>
    </row>
    <row r="275" ht="15.75" customHeight="1">
      <c r="A275" s="2">
        <v>208.0</v>
      </c>
      <c r="B275" s="2">
        <v>4200.0</v>
      </c>
      <c r="C275" s="2">
        <f t="shared" si="1"/>
        <v>4559.786633</v>
      </c>
      <c r="D275" s="2">
        <f t="shared" si="2"/>
        <v>-359.7866331</v>
      </c>
      <c r="E275" s="2">
        <f t="shared" si="3"/>
        <v>129446.4214</v>
      </c>
    </row>
    <row r="276" ht="15.75" customHeight="1">
      <c r="A276" s="2">
        <v>221.0</v>
      </c>
      <c r="B276" s="2">
        <v>5300.0</v>
      </c>
      <c r="C276" s="2">
        <f t="shared" si="1"/>
        <v>5211.77909</v>
      </c>
      <c r="D276" s="2">
        <f t="shared" si="2"/>
        <v>88.22090961</v>
      </c>
      <c r="E276" s="2">
        <f t="shared" si="3"/>
        <v>7782.928892</v>
      </c>
    </row>
    <row r="277" ht="15.75" customHeight="1">
      <c r="A277" s="2">
        <v>214.0</v>
      </c>
      <c r="B277" s="2">
        <v>4400.0</v>
      </c>
      <c r="C277" s="2">
        <f t="shared" si="1"/>
        <v>4860.706229</v>
      </c>
      <c r="D277" s="2">
        <f t="shared" si="2"/>
        <v>-460.7062288</v>
      </c>
      <c r="E277" s="2">
        <f t="shared" si="3"/>
        <v>212250.2293</v>
      </c>
    </row>
    <row r="278" ht="15.75" customHeight="1">
      <c r="A278" s="2">
        <v>231.0</v>
      </c>
      <c r="B278" s="2">
        <v>5650.0</v>
      </c>
      <c r="C278" s="2">
        <f t="shared" si="1"/>
        <v>5713.31175</v>
      </c>
      <c r="D278" s="2">
        <f t="shared" si="2"/>
        <v>-63.31174981</v>
      </c>
      <c r="E278" s="2">
        <f t="shared" si="3"/>
        <v>4008.377665</v>
      </c>
    </row>
    <row r="279" ht="15.75" customHeight="1">
      <c r="A279" s="2">
        <v>219.0</v>
      </c>
      <c r="B279" s="2">
        <v>4700.0</v>
      </c>
      <c r="C279" s="2">
        <f t="shared" si="1"/>
        <v>5111.472559</v>
      </c>
      <c r="D279" s="2">
        <f t="shared" si="2"/>
        <v>-411.4725585</v>
      </c>
      <c r="E279" s="2">
        <f t="shared" si="3"/>
        <v>169309.6664</v>
      </c>
    </row>
    <row r="280" ht="15.75" customHeight="1">
      <c r="A280" s="2">
        <v>230.0</v>
      </c>
      <c r="B280" s="2">
        <v>5700.0</v>
      </c>
      <c r="C280" s="2">
        <f t="shared" si="1"/>
        <v>5663.158484</v>
      </c>
      <c r="D280" s="2">
        <f t="shared" si="2"/>
        <v>36.84151613</v>
      </c>
      <c r="E280" s="2">
        <f t="shared" si="3"/>
        <v>1357.297311</v>
      </c>
    </row>
    <row r="281" ht="15.75" customHeight="1">
      <c r="A281" s="2">
        <v>229.0</v>
      </c>
      <c r="B281" s="2">
        <v>5800.0</v>
      </c>
      <c r="C281" s="2">
        <f t="shared" si="1"/>
        <v>5613.005218</v>
      </c>
      <c r="D281" s="2">
        <f t="shared" si="2"/>
        <v>186.9947821</v>
      </c>
      <c r="E281" s="2">
        <f t="shared" si="3"/>
        <v>34967.04852</v>
      </c>
    </row>
    <row r="282" ht="15.75" customHeight="1">
      <c r="A282" s="2">
        <v>220.0</v>
      </c>
      <c r="B282" s="2">
        <v>4700.0</v>
      </c>
      <c r="C282" s="2">
        <f t="shared" si="1"/>
        <v>5161.625824</v>
      </c>
      <c r="D282" s="2">
        <f t="shared" si="2"/>
        <v>-461.6258245</v>
      </c>
      <c r="E282" s="2">
        <f t="shared" si="3"/>
        <v>213098.4018</v>
      </c>
    </row>
    <row r="283" ht="15.75" customHeight="1">
      <c r="A283" s="2">
        <v>223.0</v>
      </c>
      <c r="B283" s="2">
        <v>5550.0</v>
      </c>
      <c r="C283" s="2">
        <f t="shared" si="1"/>
        <v>5312.085622</v>
      </c>
      <c r="D283" s="2">
        <f t="shared" si="2"/>
        <v>237.9143777</v>
      </c>
      <c r="E283" s="2">
        <f t="shared" si="3"/>
        <v>56603.25113</v>
      </c>
    </row>
    <row r="284" ht="15.75" customHeight="1">
      <c r="A284" s="2">
        <v>216.0</v>
      </c>
      <c r="B284" s="2">
        <v>4750.0</v>
      </c>
      <c r="C284" s="2">
        <f t="shared" si="1"/>
        <v>4961.012761</v>
      </c>
      <c r="D284" s="2">
        <f t="shared" si="2"/>
        <v>-211.0127607</v>
      </c>
      <c r="E284" s="2">
        <f t="shared" si="3"/>
        <v>44526.38517</v>
      </c>
    </row>
    <row r="285" ht="15.75" customHeight="1">
      <c r="A285" s="2">
        <v>221.0</v>
      </c>
      <c r="B285" s="2">
        <v>5000.0</v>
      </c>
      <c r="C285" s="2">
        <f t="shared" si="1"/>
        <v>5211.77909</v>
      </c>
      <c r="D285" s="2">
        <f t="shared" si="2"/>
        <v>-211.7790904</v>
      </c>
      <c r="E285" s="2">
        <f t="shared" si="3"/>
        <v>44850.38313</v>
      </c>
    </row>
    <row r="286" ht="15.75" customHeight="1">
      <c r="A286" s="2">
        <v>221.0</v>
      </c>
      <c r="B286" s="2">
        <v>5100.0</v>
      </c>
      <c r="C286" s="2">
        <f t="shared" si="1"/>
        <v>5211.77909</v>
      </c>
      <c r="D286" s="2">
        <f t="shared" si="2"/>
        <v>-111.7790904</v>
      </c>
      <c r="E286" s="2">
        <f t="shared" si="3"/>
        <v>12494.56505</v>
      </c>
    </row>
    <row r="287" ht="15.75" customHeight="1">
      <c r="A287" s="2">
        <v>217.0</v>
      </c>
      <c r="B287" s="2">
        <v>5200.0</v>
      </c>
      <c r="C287" s="2">
        <f t="shared" si="1"/>
        <v>5011.166027</v>
      </c>
      <c r="D287" s="2">
        <f t="shared" si="2"/>
        <v>188.8339734</v>
      </c>
      <c r="E287" s="2">
        <f t="shared" si="3"/>
        <v>35658.2695</v>
      </c>
    </row>
    <row r="288" ht="15.75" customHeight="1">
      <c r="A288" s="2">
        <v>216.0</v>
      </c>
      <c r="B288" s="2">
        <v>4700.0</v>
      </c>
      <c r="C288" s="2">
        <f t="shared" si="1"/>
        <v>4961.012761</v>
      </c>
      <c r="D288" s="2">
        <f t="shared" si="2"/>
        <v>-261.0127607</v>
      </c>
      <c r="E288" s="2">
        <f t="shared" si="3"/>
        <v>68127.66124</v>
      </c>
    </row>
    <row r="289" ht="15.75" customHeight="1">
      <c r="A289" s="2">
        <v>230.0</v>
      </c>
      <c r="B289" s="2">
        <v>5800.0</v>
      </c>
      <c r="C289" s="2">
        <f t="shared" si="1"/>
        <v>5663.158484</v>
      </c>
      <c r="D289" s="2">
        <f t="shared" si="2"/>
        <v>136.8415161</v>
      </c>
      <c r="E289" s="2">
        <f t="shared" si="3"/>
        <v>18725.60054</v>
      </c>
    </row>
    <row r="290" ht="15.75" customHeight="1">
      <c r="A290" s="2">
        <v>209.0</v>
      </c>
      <c r="B290" s="2">
        <v>4600.0</v>
      </c>
      <c r="C290" s="2">
        <f t="shared" si="1"/>
        <v>4609.939899</v>
      </c>
      <c r="D290" s="2">
        <f t="shared" si="2"/>
        <v>-9.939899086</v>
      </c>
      <c r="E290" s="2">
        <f t="shared" si="3"/>
        <v>98.80159383</v>
      </c>
    </row>
    <row r="291" ht="15.75" customHeight="1">
      <c r="A291" s="2">
        <v>220.0</v>
      </c>
      <c r="B291" s="2">
        <v>6000.0</v>
      </c>
      <c r="C291" s="2">
        <f t="shared" si="1"/>
        <v>5161.625824</v>
      </c>
      <c r="D291" s="2">
        <f t="shared" si="2"/>
        <v>838.3741755</v>
      </c>
      <c r="E291" s="2">
        <f t="shared" si="3"/>
        <v>702871.2582</v>
      </c>
    </row>
    <row r="292" ht="15.75" customHeight="1">
      <c r="A292" s="2">
        <v>215.0</v>
      </c>
      <c r="B292" s="2">
        <v>4750.0</v>
      </c>
      <c r="C292" s="2">
        <f t="shared" si="1"/>
        <v>4910.859495</v>
      </c>
      <c r="D292" s="2">
        <f t="shared" si="2"/>
        <v>-160.8594947</v>
      </c>
      <c r="E292" s="2">
        <f t="shared" si="3"/>
        <v>25875.77705</v>
      </c>
    </row>
    <row r="293" ht="15.75" customHeight="1">
      <c r="A293" s="2">
        <v>223.0</v>
      </c>
      <c r="B293" s="2">
        <v>5950.0</v>
      </c>
      <c r="C293" s="2">
        <f t="shared" si="1"/>
        <v>5312.085622</v>
      </c>
      <c r="D293" s="2">
        <f t="shared" si="2"/>
        <v>637.9143777</v>
      </c>
      <c r="E293" s="2">
        <f t="shared" si="3"/>
        <v>406934.7533</v>
      </c>
    </row>
    <row r="294" ht="15.75" customHeight="1">
      <c r="A294" s="2">
        <v>212.0</v>
      </c>
      <c r="B294" s="2">
        <v>4625.0</v>
      </c>
      <c r="C294" s="2">
        <f t="shared" si="1"/>
        <v>4760.399697</v>
      </c>
      <c r="D294" s="2">
        <f t="shared" si="2"/>
        <v>-135.3996969</v>
      </c>
      <c r="E294" s="2">
        <f t="shared" si="3"/>
        <v>18333.07792</v>
      </c>
    </row>
    <row r="295" ht="15.75" customHeight="1">
      <c r="A295" s="2">
        <v>221.0</v>
      </c>
      <c r="B295" s="2">
        <v>5450.0</v>
      </c>
      <c r="C295" s="2">
        <f t="shared" si="1"/>
        <v>5211.77909</v>
      </c>
      <c r="D295" s="2">
        <f t="shared" si="2"/>
        <v>238.2209096</v>
      </c>
      <c r="E295" s="2">
        <f t="shared" si="3"/>
        <v>56749.20177</v>
      </c>
    </row>
    <row r="296" ht="15.75" customHeight="1">
      <c r="A296" s="2">
        <v>212.0</v>
      </c>
      <c r="B296" s="2">
        <v>4725.0</v>
      </c>
      <c r="C296" s="2">
        <f t="shared" si="1"/>
        <v>4760.399697</v>
      </c>
      <c r="D296" s="2">
        <f t="shared" si="2"/>
        <v>-35.39969691</v>
      </c>
      <c r="E296" s="2">
        <f t="shared" si="3"/>
        <v>1253.138541</v>
      </c>
    </row>
    <row r="297" ht="15.75" customHeight="1">
      <c r="A297" s="2">
        <v>224.0</v>
      </c>
      <c r="B297" s="2">
        <v>5350.0</v>
      </c>
      <c r="C297" s="2">
        <f t="shared" si="1"/>
        <v>5362.238888</v>
      </c>
      <c r="D297" s="2">
        <f t="shared" si="2"/>
        <v>-12.23888822</v>
      </c>
      <c r="E297" s="2">
        <f t="shared" si="3"/>
        <v>149.7903848</v>
      </c>
    </row>
    <row r="298" ht="15.75" customHeight="1">
      <c r="A298" s="2">
        <v>212.0</v>
      </c>
      <c r="B298" s="2">
        <v>4750.0</v>
      </c>
      <c r="C298" s="2">
        <f t="shared" si="1"/>
        <v>4760.399697</v>
      </c>
      <c r="D298" s="2">
        <f t="shared" si="2"/>
        <v>-10.39969691</v>
      </c>
      <c r="E298" s="2">
        <f t="shared" si="3"/>
        <v>108.1536959</v>
      </c>
    </row>
    <row r="299" ht="15.75" customHeight="1">
      <c r="A299" s="2">
        <v>228.0</v>
      </c>
      <c r="B299" s="2">
        <v>5600.0</v>
      </c>
      <c r="C299" s="2">
        <f t="shared" si="1"/>
        <v>5562.851952</v>
      </c>
      <c r="D299" s="2">
        <f t="shared" si="2"/>
        <v>37.14804801</v>
      </c>
      <c r="E299" s="2">
        <f t="shared" si="3"/>
        <v>1379.977471</v>
      </c>
    </row>
    <row r="300" ht="15.75" customHeight="1">
      <c r="A300" s="2">
        <v>218.0</v>
      </c>
      <c r="B300" s="2">
        <v>4600.0</v>
      </c>
      <c r="C300" s="2">
        <f t="shared" si="1"/>
        <v>5061.319293</v>
      </c>
      <c r="D300" s="2">
        <f t="shared" si="2"/>
        <v>-461.3192926</v>
      </c>
      <c r="E300" s="2">
        <f t="shared" si="3"/>
        <v>212815.4897</v>
      </c>
    </row>
    <row r="301" ht="15.75" customHeight="1">
      <c r="A301" s="2">
        <v>218.0</v>
      </c>
      <c r="B301" s="2">
        <v>5300.0</v>
      </c>
      <c r="C301" s="2">
        <f t="shared" si="1"/>
        <v>5061.319293</v>
      </c>
      <c r="D301" s="2">
        <f t="shared" si="2"/>
        <v>238.6807074</v>
      </c>
      <c r="E301" s="2">
        <f t="shared" si="3"/>
        <v>56968.4801</v>
      </c>
    </row>
    <row r="302" ht="15.75" customHeight="1">
      <c r="A302" s="2">
        <v>212.0</v>
      </c>
      <c r="B302" s="2">
        <v>4875.0</v>
      </c>
      <c r="C302" s="2">
        <f t="shared" si="1"/>
        <v>4760.399697</v>
      </c>
      <c r="D302" s="2">
        <f t="shared" si="2"/>
        <v>114.6003031</v>
      </c>
      <c r="E302" s="2">
        <f t="shared" si="3"/>
        <v>13133.22947</v>
      </c>
    </row>
    <row r="303" ht="15.75" customHeight="1">
      <c r="A303" s="2">
        <v>230.0</v>
      </c>
      <c r="B303" s="2">
        <v>5550.0</v>
      </c>
      <c r="C303" s="2">
        <f t="shared" si="1"/>
        <v>5663.158484</v>
      </c>
      <c r="D303" s="2">
        <f t="shared" si="2"/>
        <v>-113.1584839</v>
      </c>
      <c r="E303" s="2">
        <f t="shared" si="3"/>
        <v>12804.84247</v>
      </c>
    </row>
    <row r="304" ht="15.75" customHeight="1">
      <c r="A304" s="2">
        <v>218.0</v>
      </c>
      <c r="B304" s="2">
        <v>4950.0</v>
      </c>
      <c r="C304" s="2">
        <f t="shared" si="1"/>
        <v>5061.319293</v>
      </c>
      <c r="D304" s="2">
        <f t="shared" si="2"/>
        <v>-111.3192926</v>
      </c>
      <c r="E304" s="2">
        <f t="shared" si="3"/>
        <v>12391.9849</v>
      </c>
    </row>
    <row r="305" ht="15.75" customHeight="1">
      <c r="A305" s="2">
        <v>228.0</v>
      </c>
      <c r="B305" s="2">
        <v>5400.0</v>
      </c>
      <c r="C305" s="2">
        <f t="shared" si="1"/>
        <v>5562.851952</v>
      </c>
      <c r="D305" s="2">
        <f t="shared" si="2"/>
        <v>-162.851952</v>
      </c>
      <c r="E305" s="2">
        <f t="shared" si="3"/>
        <v>26520.75827</v>
      </c>
    </row>
    <row r="306" ht="15.75" customHeight="1">
      <c r="A306" s="2">
        <v>212.0</v>
      </c>
      <c r="B306" s="2">
        <v>4750.0</v>
      </c>
      <c r="C306" s="2">
        <f t="shared" si="1"/>
        <v>4760.399697</v>
      </c>
      <c r="D306" s="2">
        <f t="shared" si="2"/>
        <v>-10.39969691</v>
      </c>
      <c r="E306" s="2">
        <f t="shared" si="3"/>
        <v>108.1536959</v>
      </c>
    </row>
    <row r="307" ht="15.75" customHeight="1">
      <c r="A307" s="2">
        <v>224.0</v>
      </c>
      <c r="B307" s="2">
        <v>5650.0</v>
      </c>
      <c r="C307" s="2">
        <f t="shared" si="1"/>
        <v>5362.238888</v>
      </c>
      <c r="D307" s="2">
        <f t="shared" si="2"/>
        <v>287.7611118</v>
      </c>
      <c r="E307" s="2">
        <f t="shared" si="3"/>
        <v>82806.45745</v>
      </c>
    </row>
    <row r="308" ht="15.75" customHeight="1">
      <c r="A308" s="2">
        <v>214.0</v>
      </c>
      <c r="B308" s="2">
        <v>4850.0</v>
      </c>
      <c r="C308" s="2">
        <f t="shared" si="1"/>
        <v>4860.706229</v>
      </c>
      <c r="D308" s="2">
        <f t="shared" si="2"/>
        <v>-10.7062288</v>
      </c>
      <c r="E308" s="2">
        <f t="shared" si="3"/>
        <v>114.623335</v>
      </c>
    </row>
    <row r="309" ht="15.75" customHeight="1">
      <c r="A309" s="2">
        <v>226.0</v>
      </c>
      <c r="B309" s="2">
        <v>5200.0</v>
      </c>
      <c r="C309" s="2">
        <f t="shared" si="1"/>
        <v>5462.54542</v>
      </c>
      <c r="D309" s="2">
        <f t="shared" si="2"/>
        <v>-262.5454201</v>
      </c>
      <c r="E309" s="2">
        <f t="shared" si="3"/>
        <v>68930.09762</v>
      </c>
    </row>
    <row r="310" ht="15.75" customHeight="1">
      <c r="A310" s="2">
        <v>216.0</v>
      </c>
      <c r="B310" s="2">
        <v>4925.0</v>
      </c>
      <c r="C310" s="2">
        <f t="shared" si="1"/>
        <v>4961.012761</v>
      </c>
      <c r="D310" s="2">
        <f t="shared" si="2"/>
        <v>-36.01276068</v>
      </c>
      <c r="E310" s="2">
        <f t="shared" si="3"/>
        <v>1296.918932</v>
      </c>
    </row>
    <row r="311" ht="15.75" customHeight="1">
      <c r="A311" s="2">
        <v>222.0</v>
      </c>
      <c r="B311" s="2">
        <v>4875.0</v>
      </c>
      <c r="C311" s="2">
        <f t="shared" si="1"/>
        <v>5261.932356</v>
      </c>
      <c r="D311" s="2">
        <f t="shared" si="2"/>
        <v>-386.9323563</v>
      </c>
      <c r="E311" s="2">
        <f t="shared" si="3"/>
        <v>149716.6484</v>
      </c>
    </row>
    <row r="312" ht="15.75" customHeight="1">
      <c r="A312" s="2">
        <v>203.0</v>
      </c>
      <c r="B312" s="2">
        <v>4625.0</v>
      </c>
      <c r="C312" s="2">
        <f t="shared" si="1"/>
        <v>4309.020303</v>
      </c>
      <c r="D312" s="2">
        <f t="shared" si="2"/>
        <v>315.9796966</v>
      </c>
      <c r="E312" s="2">
        <f t="shared" si="3"/>
        <v>99843.16864</v>
      </c>
    </row>
    <row r="313" ht="15.75" customHeight="1">
      <c r="A313" s="2">
        <v>225.0</v>
      </c>
      <c r="B313" s="2">
        <v>5250.0</v>
      </c>
      <c r="C313" s="2">
        <f t="shared" si="1"/>
        <v>5412.392154</v>
      </c>
      <c r="D313" s="2">
        <f t="shared" si="2"/>
        <v>-162.3921542</v>
      </c>
      <c r="E313" s="2">
        <f t="shared" si="3"/>
        <v>26371.21173</v>
      </c>
    </row>
    <row r="314" ht="15.75" customHeight="1">
      <c r="A314" s="2">
        <v>219.0</v>
      </c>
      <c r="B314" s="2">
        <v>4850.0</v>
      </c>
      <c r="C314" s="2">
        <f t="shared" si="1"/>
        <v>5111.472559</v>
      </c>
      <c r="D314" s="2">
        <f t="shared" si="2"/>
        <v>-261.4725585</v>
      </c>
      <c r="E314" s="2">
        <f t="shared" si="3"/>
        <v>68367.89885</v>
      </c>
    </row>
    <row r="315" ht="15.75" customHeight="1">
      <c r="A315" s="2">
        <v>228.0</v>
      </c>
      <c r="B315" s="2">
        <v>5600.0</v>
      </c>
      <c r="C315" s="2">
        <f t="shared" si="1"/>
        <v>5562.851952</v>
      </c>
      <c r="D315" s="2">
        <f t="shared" si="2"/>
        <v>37.14804801</v>
      </c>
      <c r="E315" s="2">
        <f t="shared" si="3"/>
        <v>1379.977471</v>
      </c>
    </row>
    <row r="316" ht="15.75" customHeight="1">
      <c r="A316" s="2">
        <v>215.0</v>
      </c>
      <c r="B316" s="2">
        <v>4975.0</v>
      </c>
      <c r="C316" s="2">
        <f t="shared" si="1"/>
        <v>4910.859495</v>
      </c>
      <c r="D316" s="2">
        <f t="shared" si="2"/>
        <v>64.14050526</v>
      </c>
      <c r="E316" s="2">
        <f t="shared" si="3"/>
        <v>4114.004415</v>
      </c>
    </row>
    <row r="317" ht="15.75" customHeight="1">
      <c r="A317" s="2">
        <v>228.0</v>
      </c>
      <c r="B317" s="2">
        <v>5500.0</v>
      </c>
      <c r="C317" s="2">
        <f t="shared" si="1"/>
        <v>5562.851952</v>
      </c>
      <c r="D317" s="2">
        <f t="shared" si="2"/>
        <v>-62.85195199</v>
      </c>
      <c r="E317" s="2">
        <f t="shared" si="3"/>
        <v>3950.367869</v>
      </c>
    </row>
    <row r="318" ht="15.75" customHeight="1">
      <c r="A318" s="2">
        <v>215.0</v>
      </c>
      <c r="B318" s="2">
        <v>5500.0</v>
      </c>
      <c r="C318" s="2">
        <f t="shared" si="1"/>
        <v>4910.859495</v>
      </c>
      <c r="D318" s="2">
        <f t="shared" si="2"/>
        <v>589.1405053</v>
      </c>
      <c r="E318" s="2">
        <f t="shared" si="3"/>
        <v>347086.5349</v>
      </c>
    </row>
    <row r="319" ht="15.75" customHeight="1">
      <c r="A319" s="2">
        <v>210.0</v>
      </c>
      <c r="B319" s="2">
        <v>4700.0</v>
      </c>
      <c r="C319" s="2">
        <f t="shared" si="1"/>
        <v>4660.093165</v>
      </c>
      <c r="D319" s="2">
        <f t="shared" si="2"/>
        <v>39.90683497</v>
      </c>
      <c r="E319" s="2">
        <f t="shared" si="3"/>
        <v>1592.555477</v>
      </c>
    </row>
    <row r="320" ht="15.75" customHeight="1">
      <c r="A320" s="2">
        <v>219.0</v>
      </c>
      <c r="B320" s="2">
        <v>5500.0</v>
      </c>
      <c r="C320" s="2">
        <f t="shared" si="1"/>
        <v>5111.472559</v>
      </c>
      <c r="D320" s="2">
        <f t="shared" si="2"/>
        <v>388.5274415</v>
      </c>
      <c r="E320" s="2">
        <f t="shared" si="3"/>
        <v>150953.5728</v>
      </c>
    </row>
    <row r="321" ht="15.75" customHeight="1">
      <c r="A321" s="2">
        <v>208.0</v>
      </c>
      <c r="B321" s="2">
        <v>4575.0</v>
      </c>
      <c r="C321" s="2">
        <f t="shared" si="1"/>
        <v>4559.786633</v>
      </c>
      <c r="D321" s="2">
        <f t="shared" si="2"/>
        <v>15.21336686</v>
      </c>
      <c r="E321" s="2">
        <f t="shared" si="3"/>
        <v>231.4465311</v>
      </c>
    </row>
    <row r="322" ht="15.75" customHeight="1">
      <c r="A322" s="2">
        <v>209.0</v>
      </c>
      <c r="B322" s="2">
        <v>5500.0</v>
      </c>
      <c r="C322" s="2">
        <f t="shared" si="1"/>
        <v>4609.939899</v>
      </c>
      <c r="D322" s="2">
        <f t="shared" si="2"/>
        <v>890.0601009</v>
      </c>
      <c r="E322" s="2">
        <f t="shared" si="3"/>
        <v>792206.9832</v>
      </c>
    </row>
    <row r="323" ht="15.75" customHeight="1">
      <c r="A323" s="2">
        <v>216.0</v>
      </c>
      <c r="B323" s="2">
        <v>5000.0</v>
      </c>
      <c r="C323" s="2">
        <f t="shared" si="1"/>
        <v>4961.012761</v>
      </c>
      <c r="D323" s="2">
        <f t="shared" si="2"/>
        <v>38.98723932</v>
      </c>
      <c r="E323" s="2">
        <f t="shared" si="3"/>
        <v>1520.00483</v>
      </c>
    </row>
    <row r="324" ht="15.75" customHeight="1">
      <c r="A324" s="2">
        <v>229.0</v>
      </c>
      <c r="B324" s="2">
        <v>5950.0</v>
      </c>
      <c r="C324" s="2">
        <f t="shared" si="1"/>
        <v>5613.005218</v>
      </c>
      <c r="D324" s="2">
        <f t="shared" si="2"/>
        <v>336.9947821</v>
      </c>
      <c r="E324" s="2">
        <f t="shared" si="3"/>
        <v>113565.4831</v>
      </c>
    </row>
    <row r="325" ht="15.75" customHeight="1">
      <c r="A325" s="2">
        <v>213.0</v>
      </c>
      <c r="B325" s="2">
        <v>4650.0</v>
      </c>
      <c r="C325" s="2">
        <f t="shared" si="1"/>
        <v>4810.552963</v>
      </c>
      <c r="D325" s="2">
        <f t="shared" si="2"/>
        <v>-160.5529629</v>
      </c>
      <c r="E325" s="2">
        <f t="shared" si="3"/>
        <v>25777.25388</v>
      </c>
    </row>
    <row r="326" ht="15.75" customHeight="1">
      <c r="A326" s="2">
        <v>230.0</v>
      </c>
      <c r="B326" s="2">
        <v>5500.0</v>
      </c>
      <c r="C326" s="2">
        <f t="shared" si="1"/>
        <v>5663.158484</v>
      </c>
      <c r="D326" s="2">
        <f t="shared" si="2"/>
        <v>-163.1584839</v>
      </c>
      <c r="E326" s="2">
        <f t="shared" si="3"/>
        <v>26620.69086</v>
      </c>
    </row>
    <row r="327" ht="15.75" customHeight="1">
      <c r="A327" s="2">
        <v>217.0</v>
      </c>
      <c r="B327" s="2">
        <v>4375.0</v>
      </c>
      <c r="C327" s="2">
        <f t="shared" si="1"/>
        <v>5011.166027</v>
      </c>
      <c r="D327" s="2">
        <f t="shared" si="2"/>
        <v>-636.1660266</v>
      </c>
      <c r="E327" s="2">
        <f t="shared" si="3"/>
        <v>404707.2134</v>
      </c>
    </row>
    <row r="328" ht="15.75" customHeight="1">
      <c r="A328" s="2">
        <v>230.0</v>
      </c>
      <c r="B328" s="2">
        <v>5850.0</v>
      </c>
      <c r="C328" s="2">
        <f t="shared" si="1"/>
        <v>5663.158484</v>
      </c>
      <c r="D328" s="2">
        <f t="shared" si="2"/>
        <v>186.8415161</v>
      </c>
      <c r="E328" s="2">
        <f t="shared" si="3"/>
        <v>34909.75215</v>
      </c>
    </row>
    <row r="329" ht="15.75" customHeight="1">
      <c r="A329" s="2">
        <v>222.0</v>
      </c>
      <c r="B329" s="2">
        <v>6000.0</v>
      </c>
      <c r="C329" s="2">
        <f t="shared" si="1"/>
        <v>5261.932356</v>
      </c>
      <c r="D329" s="2">
        <f t="shared" si="2"/>
        <v>738.0676437</v>
      </c>
      <c r="E329" s="2">
        <f t="shared" si="3"/>
        <v>544743.8466</v>
      </c>
    </row>
    <row r="330" ht="15.75" customHeight="1">
      <c r="A330" s="2">
        <v>214.0</v>
      </c>
      <c r="B330" s="2">
        <v>4925.0</v>
      </c>
      <c r="C330" s="2">
        <f t="shared" si="1"/>
        <v>4860.706229</v>
      </c>
      <c r="D330" s="2">
        <f t="shared" si="2"/>
        <v>64.2937712</v>
      </c>
      <c r="E330" s="2">
        <f t="shared" si="3"/>
        <v>4133.689016</v>
      </c>
    </row>
    <row r="331" ht="15.75" customHeight="1">
      <c r="A331" s="2">
        <v>215.0</v>
      </c>
      <c r="B331" s="2">
        <v>4850.0</v>
      </c>
      <c r="C331" s="2">
        <f t="shared" si="1"/>
        <v>4910.859495</v>
      </c>
      <c r="D331" s="2">
        <f t="shared" si="2"/>
        <v>-60.85949474</v>
      </c>
      <c r="E331" s="2">
        <f t="shared" si="3"/>
        <v>3703.8781</v>
      </c>
    </row>
    <row r="332" ht="15.75" customHeight="1">
      <c r="A332" s="2">
        <v>222.0</v>
      </c>
      <c r="B332" s="2">
        <v>5750.0</v>
      </c>
      <c r="C332" s="2">
        <f t="shared" si="1"/>
        <v>5261.932356</v>
      </c>
      <c r="D332" s="2">
        <f t="shared" si="2"/>
        <v>488.0676437</v>
      </c>
      <c r="E332" s="2">
        <f t="shared" si="3"/>
        <v>238210.0248</v>
      </c>
    </row>
    <row r="333" ht="15.75" customHeight="1">
      <c r="A333" s="2">
        <v>212.0</v>
      </c>
      <c r="B333" s="2">
        <v>5200.0</v>
      </c>
      <c r="C333" s="2">
        <f t="shared" si="1"/>
        <v>4760.399697</v>
      </c>
      <c r="D333" s="2">
        <f t="shared" si="2"/>
        <v>439.6003031</v>
      </c>
      <c r="E333" s="2">
        <f t="shared" si="3"/>
        <v>193248.4265</v>
      </c>
    </row>
    <row r="334" ht="15.75" customHeight="1">
      <c r="A334" s="2">
        <v>213.0</v>
      </c>
      <c r="B334" s="2">
        <v>5400.0</v>
      </c>
      <c r="C334" s="2">
        <f t="shared" si="1"/>
        <v>4810.552963</v>
      </c>
      <c r="D334" s="2">
        <f t="shared" si="2"/>
        <v>589.4470371</v>
      </c>
      <c r="E334" s="2">
        <f t="shared" si="3"/>
        <v>347447.8096</v>
      </c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5" t="s">
        <v>42</v>
      </c>
      <c r="B1" s="2">
        <f>SQRT(AVERAGE(Task4A!E2:E334))</f>
        <v>392.1602706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